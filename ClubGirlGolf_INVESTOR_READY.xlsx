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umptions" sheetId="1" r:id="rId4"/>
    <sheet state="visible" name="Demand Forecast" sheetId="2" r:id="rId5"/>
    <sheet state="visible" name="Inventory Model" sheetId="3" r:id="rId6"/>
    <sheet state="visible" name="Financial Summary" sheetId="4" r:id="rId7"/>
    <sheet state="visible" name="Executive Dashboard" sheetId="5" r:id="rId8"/>
  </sheets>
  <definedNames/>
  <calcPr/>
  <extLst>
    <ext uri="GoogleSheetsCustomDataVersion2">
      <go:sheetsCustomData xmlns:go="http://customooxmlschemas.google.com/" r:id="rId9" roundtripDataChecksum="5xGOLjU+aNkmwAVPqqeBcknpZvOssx3g/qxRHZ4IAPk="/>
    </ext>
  </extLst>
</workbook>
</file>

<file path=xl/sharedStrings.xml><?xml version="1.0" encoding="utf-8"?>
<sst xmlns="http://schemas.openxmlformats.org/spreadsheetml/2006/main" count="391" uniqueCount="125">
  <si>
    <t>SKU MASTER DATA</t>
  </si>
  <si>
    <t>Product costs, pricing, and inventory parameters</t>
  </si>
  <si>
    <t>SKU ID</t>
  </si>
  <si>
    <t>Product Name</t>
  </si>
  <si>
    <t>Unit Cost</t>
  </si>
  <si>
    <t>DTC Price</t>
  </si>
  <si>
    <t>Wholesale Price</t>
  </si>
  <si>
    <t>Lead Time (Mo)</t>
  </si>
  <si>
    <t>Safety Stock</t>
  </si>
  <si>
    <t>Current Inventory</t>
  </si>
  <si>
    <t>MOQ</t>
  </si>
  <si>
    <t>SKU001</t>
  </si>
  <si>
    <t>Monarch Steel - Black</t>
  </si>
  <si>
    <t>SKU002</t>
  </si>
  <si>
    <t>Monarch Steel - White</t>
  </si>
  <si>
    <t>SKU003</t>
  </si>
  <si>
    <t>Monarch Steel - Pink</t>
  </si>
  <si>
    <t>SKU004</t>
  </si>
  <si>
    <t>Monarch Steel - Blue</t>
  </si>
  <si>
    <t>SKU005</t>
  </si>
  <si>
    <t>Monarch Midnight - Black</t>
  </si>
  <si>
    <t>SKU006</t>
  </si>
  <si>
    <t>Monarch Midnight - White</t>
  </si>
  <si>
    <t>SKU007</t>
  </si>
  <si>
    <t>Ball Markr Tool</t>
  </si>
  <si>
    <t>SKU008</t>
  </si>
  <si>
    <t>Gate Trainr</t>
  </si>
  <si>
    <t>SKU009</t>
  </si>
  <si>
    <t>Blade Headcover</t>
  </si>
  <si>
    <t>SKU010</t>
  </si>
  <si>
    <t>Accessories Bundle</t>
  </si>
  <si>
    <t>📋 DEFINITIONS</t>
  </si>
  <si>
    <t>• Unit Cost = Manufacturing cost per item (COGS)</t>
  </si>
  <si>
    <t>• Lead Time = Months from order placement to warehouse arrival</t>
  </si>
  <si>
    <t>• Safety Stock = Minimum inventory before triggering reorder alert</t>
  </si>
  <si>
    <t>• MOQ = Minimum order quantity required by manufacturer</t>
  </si>
  <si>
    <t>DEMAND FORECAST</t>
  </si>
  <si>
    <t>12-month sales projections by channel</t>
  </si>
  <si>
    <t>DTC / ONLINE SALES</t>
  </si>
  <si>
    <t>SKU</t>
  </si>
  <si>
    <t>Channel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</si>
  <si>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</si>
  <si>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</si>
  <si>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</si>
  <si>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</si>
  <si>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</si>
  <si>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</si>
  <si>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</si>
  <si>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</si>
  <si>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</si>
  <si>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</si>
  <si>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</si>
  <si>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</si>
  <si>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DTC</t>
  </si>
  <si>
    <t>RETAIL / WHOLESALE ORDERS</t>
  </si>
  <si>
    <t>Company X</t>
  </si>
  <si>
    <t>Company Y</t>
  </si>
  <si>
    <t>TOTAL DEMAND (ALL CHANNELS)</t>
  </si>
  <si>
    <t>TOTAL</t>
  </si>
  <si>
    <t>INVENTORY MODEL</t>
  </si>
  <si>
    <t>Real-time inventory tracking with lead-time-aware reorder alerts</t>
  </si>
  <si>
    <t>Metric</t>
  </si>
  <si>
    <t>Status</t>
  </si>
  <si>
    <t>Beginning Inventory</t>
  </si>
  <si>
    <t>Gross Sales</t>
  </si>
  <si>
    <t>Net Position</t>
  </si>
  <si>
    <t>Incoming Shipments ⚠️</t>
  </si>
  <si>
    <t>Ending Inventory</t>
  </si>
  <si>
    <t>Months of Supply</t>
  </si>
  <si>
    <t>-</t>
  </si>
  <si>
    <t>🚨 Order Alert</t>
  </si>
  <si>
    <t>Order Qty Needed</t>
  </si>
  <si>
    <t>FINANCIAL SUMMARY</t>
  </si>
  <si>
    <t>Monthly revenue, costs, margins, and cash flow</t>
  </si>
  <si>
    <t>REVENUE</t>
  </si>
  <si>
    <t>Line Item</t>
  </si>
  <si>
    <t>Description</t>
  </si>
  <si>
    <t>DTC Revenue</t>
  </si>
  <si>
    <t>(units × DTC price)</t>
  </si>
  <si>
    <t>Wholesale Revenue</t>
  </si>
  <si>
    <t>(units × wholesale price)</t>
  </si>
  <si>
    <t>Total Revenue</t>
  </si>
  <si>
    <t>COST OF GOODS SOLD</t>
  </si>
  <si>
    <t>Total Units Sold</t>
  </si>
  <si>
    <t>(all channels)</t>
  </si>
  <si>
    <t>COGS</t>
  </si>
  <si>
    <t>(units × unit cost)</t>
  </si>
  <si>
    <t>Gross Profit</t>
  </si>
  <si>
    <t>Gross Margin %</t>
  </si>
  <si>
    <t>CASH FLOW</t>
  </si>
  <si>
    <t>Cash Inflow</t>
  </si>
  <si>
    <t>(from sales)</t>
  </si>
  <si>
    <t>Cash Outflow</t>
  </si>
  <si>
    <t>(inventory purchases)</t>
  </si>
  <si>
    <t>Net Cash Flow</t>
  </si>
  <si>
    <t>CLUB GIRL GOLF</t>
  </si>
  <si>
    <t>Inventory &amp; Financial Dashboard</t>
  </si>
  <si>
    <t>📊 KEY METRICS</t>
  </si>
  <si>
    <t>Total Revenue (YTD)</t>
  </si>
  <si>
    <t>Inventory On Hand</t>
  </si>
  <si>
    <t>SKUs Below Safety</t>
  </si>
  <si>
    <t>Cash in Inventory</t>
  </si>
  <si>
    <t>📦 INVENTORY RUNWAY</t>
  </si>
  <si>
    <t>💰 REVENUE BREAKDOWN</t>
  </si>
  <si>
    <t>Stock</t>
  </si>
  <si>
    <t>Daily Sales</t>
  </si>
  <si>
    <t>Days Left</t>
  </si>
  <si>
    <t>Stockout Date</t>
  </si>
  <si>
    <t>Month</t>
  </si>
  <si>
    <t>Wholesale</t>
  </si>
  <si>
    <t>Total</t>
  </si>
  <si>
    <t>Margin %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</si>
  <si>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</si>
  <si>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</si>
  <si>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</si>
  <si>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</si>
  <si>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</si>
  <si>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</si>
  <si>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</si>
  <si>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</si>
  <si>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</si>
  <si>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</si>
  <si>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</si>
  <si>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📈 INVENTORY SAWTOOTH - SKU001</t>
  </si>
  <si>
    <t>Ending Inv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</si>
</sst>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\$#,##0.00"/>
    <numFmt numFmtId="165" formatCode="0.0"/>
    <numFmt numFmtId="166" formatCode="\$#,##0"/>
    <numFmt numFmtId="167" formatCode="0.0%"/>
    <numFmt numFmtId="168" formatCode="&quot;-$&quot;#,##0"/>
    <numFmt numFmtId="169" formatCode="\$#,##0;&quot;-$&quot;#,##0;\-"/>
  </numFmts>
  <fonts count="23">
    <font>
      <sz val="11.0"/>
      <color theme="1"/>
      <name val="Calibri"/>
      <scheme val="minor"/>
    </font>
    <font>
      <b/>
      <sz val="16.0"/>
      <color rgb="FF2E1A2B"/>
      <name val="Arial"/>
    </font>
    <font>
      <sz val="11.0"/>
      <color theme="1"/>
      <name val="Arial"/>
    </font>
    <font>
      <sz val="10.0"/>
      <color rgb="FF666666"/>
      <name val="Arial"/>
    </font>
    <font>
      <b/>
      <sz val="10.0"/>
      <color rgb="FFFFFFFF"/>
      <name val="Arial"/>
    </font>
    <font>
      <sz val="10.0"/>
      <color rgb="FF2E1A2B"/>
      <name val="Arial"/>
    </font>
    <font>
      <sz val="10.0"/>
      <color rgb="FF0000FF"/>
      <name val="Arial"/>
    </font>
    <font>
      <b/>
      <sz val="11.0"/>
      <color rgb="FF2E1A2B"/>
      <name val="Arial"/>
    </font>
    <font>
      <sz val="9.0"/>
      <color rgb="FF666666"/>
      <name val="Arial"/>
    </font>
    <font>
      <sz val="11.0"/>
      <color theme="1"/>
      <name val="Calibri"/>
    </font>
    <font>
      <b/>
      <sz val="16.0"/>
      <color rgb="FFFFFFFF"/>
      <name val="Arial"/>
    </font>
    <font/>
    <font>
      <b/>
      <sz val="12.0"/>
      <color rgb="FFFFFFFF"/>
      <name val="Arial"/>
    </font>
    <font>
      <b/>
      <sz val="10.0"/>
      <color rgb="FF2E1A2B"/>
      <name val="Arial"/>
    </font>
    <font>
      <sz val="10.0"/>
      <color theme="1"/>
      <name val="Arial"/>
    </font>
    <font>
      <sz val="10.0"/>
      <color rgb="FF3CB371"/>
      <name val="Arial"/>
    </font>
    <font>
      <b/>
      <sz val="10.0"/>
      <color rgb="FFFF6B6B"/>
      <name val="Arial"/>
    </font>
    <font>
      <b/>
      <sz val="12.0"/>
      <color rgb="FF2E1A2B"/>
      <name val="Arial"/>
    </font>
    <font>
      <b/>
      <sz val="11.0"/>
      <color rgb="FFE83E8C"/>
      <name val="Arial"/>
    </font>
    <font>
      <b/>
      <sz val="24.0"/>
      <color rgb="FF2E1A2B"/>
      <name val="Arial"/>
    </font>
    <font>
      <sz val="11.0"/>
      <color rgb="FF666666"/>
      <name val="Arial"/>
    </font>
    <font>
      <b/>
      <sz val="20.0"/>
      <color rgb="FFE83E8C"/>
      <name val="Arial"/>
    </font>
    <font>
      <b/>
      <sz val="9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E83E8C"/>
        <bgColor rgb="FFE83E8C"/>
      </patternFill>
    </fill>
    <fill>
      <patternFill patternType="solid">
        <fgColor rgb="FFFAF9F7"/>
        <bgColor rgb="FFFAF9F7"/>
      </patternFill>
    </fill>
    <fill>
      <patternFill patternType="solid">
        <fgColor rgb="FFFCE4EC"/>
        <bgColor rgb="FFFCE4EC"/>
      </patternFill>
    </fill>
    <fill>
      <patternFill patternType="solid">
        <fgColor rgb="FFFFFFFF"/>
        <bgColor rgb="FFFFFFFF"/>
      </patternFill>
    </fill>
    <fill>
      <patternFill patternType="solid">
        <fgColor rgb="FFFAFAFA"/>
        <bgColor rgb="FFFAFAFA"/>
      </patternFill>
    </fill>
    <fill>
      <patternFill patternType="solid">
        <fgColor rgb="FFF9F9F9"/>
        <bgColor rgb="FFF9F9F9"/>
      </patternFill>
    </fill>
  </fills>
  <borders count="9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E83E8C"/>
      </left>
      <top style="thin">
        <color rgb="FFE83E8C"/>
      </top>
    </border>
    <border>
      <right style="thin">
        <color rgb="FFE83E8C"/>
      </right>
      <top style="thin">
        <color rgb="FFE83E8C"/>
      </top>
    </border>
    <border>
      <left style="thin">
        <color rgb="FFE83E8C"/>
      </left>
      <bottom style="thin">
        <color rgb="FFE83E8C"/>
      </bottom>
    </border>
    <border>
      <right style="thin">
        <color rgb="FFE83E8C"/>
      </right>
      <bottom style="thin">
        <color rgb="FFE83E8C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horizontal="left" shrinkToFit="0" vertical="center" wrapText="0"/>
    </xf>
    <xf borderId="1" fillId="2" fontId="4" numFmtId="0" xfId="0" applyAlignment="1" applyBorder="1" applyFill="1" applyFont="1">
      <alignment horizontal="center" shrinkToFit="0" vertical="center" wrapText="0"/>
    </xf>
    <xf borderId="1" fillId="3" fontId="5" numFmtId="0" xfId="0" applyAlignment="1" applyBorder="1" applyFill="1" applyFont="1">
      <alignment horizontal="left" shrinkToFit="0" vertical="center" wrapText="0"/>
    </xf>
    <xf borderId="1" fillId="4" fontId="6" numFmtId="164" xfId="0" applyAlignment="1" applyBorder="1" applyFill="1" applyFont="1" applyNumberFormat="1">
      <alignment horizontal="right" shrinkToFit="0" vertical="center" wrapText="0"/>
    </xf>
    <xf borderId="1" fillId="4" fontId="6" numFmtId="3" xfId="0" applyAlignment="1" applyBorder="1" applyFont="1" applyNumberFormat="1">
      <alignment horizontal="right" shrinkToFit="0" vertical="center" wrapText="0"/>
    </xf>
    <xf borderId="1" fillId="4" fontId="7" numFmtId="0" xfId="0" applyAlignment="1" applyBorder="1" applyFont="1">
      <alignment horizontal="left" shrinkToFit="0" vertical="center" wrapText="0"/>
    </xf>
    <xf borderId="0" fillId="0" fontId="8" numFmtId="0" xfId="0" applyAlignment="1" applyFont="1">
      <alignment horizontal="left" shrinkToFit="0" vertical="center" wrapText="0"/>
    </xf>
    <xf borderId="0" fillId="0" fontId="9" numFmtId="0" xfId="0" applyAlignment="1" applyFont="1">
      <alignment shrinkToFit="0" vertical="bottom" wrapText="0"/>
    </xf>
    <xf borderId="2" fillId="2" fontId="10" numFmtId="0" xfId="0" applyAlignment="1" applyBorder="1" applyFont="1">
      <alignment horizontal="center" shrinkToFit="0" vertical="center" wrapText="0"/>
    </xf>
    <xf borderId="3" fillId="0" fontId="11" numFmtId="0" xfId="0" applyBorder="1" applyFont="1"/>
    <xf borderId="4" fillId="0" fontId="11" numFmtId="0" xfId="0" applyBorder="1" applyFont="1"/>
    <xf borderId="2" fillId="2" fontId="12" numFmtId="0" xfId="0" applyAlignment="1" applyBorder="1" applyFont="1">
      <alignment horizontal="left" shrinkToFit="0" vertical="center" wrapText="0"/>
    </xf>
    <xf borderId="0" fillId="0" fontId="9" numFmtId="0" xfId="0" applyAlignment="1" applyFont="1">
      <alignment horizontal="left" shrinkToFit="0" vertical="center" wrapText="0"/>
    </xf>
    <xf borderId="1" fillId="4" fontId="13" numFmtId="0" xfId="0" applyAlignment="1" applyBorder="1" applyFont="1">
      <alignment horizontal="center" shrinkToFit="0" vertical="bottom" wrapText="0"/>
    </xf>
    <xf borderId="1" fillId="5" fontId="5" numFmtId="0" xfId="0" applyAlignment="1" applyBorder="1" applyFill="1" applyFont="1">
      <alignment horizontal="left" shrinkToFit="0" vertical="center" wrapText="0"/>
    </xf>
    <xf borderId="1" fillId="6" fontId="5" numFmtId="0" xfId="0" applyAlignment="1" applyBorder="1" applyFill="1" applyFont="1">
      <alignment horizontal="left" shrinkToFit="0" vertical="center" wrapText="0"/>
    </xf>
    <xf borderId="1" fillId="6" fontId="6" numFmtId="3" xfId="0" applyAlignment="1" applyBorder="1" applyFont="1" applyNumberFormat="1">
      <alignment horizontal="right" shrinkToFit="0" vertical="center" wrapText="0"/>
    </xf>
    <xf borderId="2" fillId="2" fontId="12" numFmtId="0" xfId="0" applyAlignment="1" applyBorder="1" applyFont="1">
      <alignment shrinkToFit="0" vertical="bottom" wrapText="0"/>
    </xf>
    <xf borderId="1" fillId="2" fontId="4" numFmtId="0" xfId="0" applyAlignment="1" applyBorder="1" applyFont="1">
      <alignment horizontal="center" shrinkToFit="0" vertical="bottom" wrapText="0"/>
    </xf>
    <xf borderId="0" fillId="0" fontId="14" numFmtId="3" xfId="0" applyAlignment="1" applyFont="1" applyNumberFormat="1">
      <alignment horizontal="left" shrinkToFit="0" vertical="center" wrapText="0"/>
    </xf>
    <xf borderId="1" fillId="3" fontId="7" numFmtId="0" xfId="0" applyAlignment="1" applyBorder="1" applyFont="1">
      <alignment horizontal="left" shrinkToFit="0" vertical="center" wrapText="0"/>
    </xf>
    <xf borderId="1" fillId="3" fontId="9" numFmtId="0" xfId="0" applyAlignment="1" applyBorder="1" applyFont="1">
      <alignment horizontal="left" shrinkToFit="0" vertical="center" wrapText="0"/>
    </xf>
    <xf borderId="1" fillId="3" fontId="15" numFmtId="3" xfId="0" applyAlignment="1" applyBorder="1" applyFont="1" applyNumberFormat="1">
      <alignment horizontal="left" shrinkToFit="0" vertical="center" wrapText="0"/>
    </xf>
    <xf borderId="1" fillId="3" fontId="9" numFmtId="3" xfId="0" applyAlignment="1" applyBorder="1" applyFont="1" applyNumberFormat="1">
      <alignment horizontal="left" shrinkToFit="0" vertical="center" wrapText="0"/>
    </xf>
    <xf borderId="1" fillId="3" fontId="9" numFmtId="0" xfId="0" applyAlignment="1" applyBorder="1" applyFont="1">
      <alignment shrinkToFit="0" vertical="bottom" wrapText="0"/>
    </xf>
    <xf borderId="1" fillId="7" fontId="9" numFmtId="0" xfId="0" applyAlignment="1" applyBorder="1" applyFill="1" applyFont="1">
      <alignment shrinkToFit="0" vertical="bottom" wrapText="0"/>
    </xf>
    <xf borderId="1" fillId="7" fontId="9" numFmtId="0" xfId="0" applyAlignment="1" applyBorder="1" applyFont="1">
      <alignment horizontal="left" shrinkToFit="0" vertical="center" wrapText="0"/>
    </xf>
    <xf borderId="1" fillId="7" fontId="15" numFmtId="3" xfId="0" applyAlignment="1" applyBorder="1" applyFont="1" applyNumberFormat="1">
      <alignment horizontal="left" shrinkToFit="0" vertical="center" wrapText="0"/>
    </xf>
    <xf borderId="1" fillId="7" fontId="6" numFmtId="3" xfId="0" applyAlignment="1" applyBorder="1" applyFont="1" applyNumberFormat="1">
      <alignment horizontal="right" shrinkToFit="0" vertical="center" wrapText="0"/>
    </xf>
    <xf borderId="1" fillId="3" fontId="9" numFmtId="0" xfId="0" applyAlignment="1" applyBorder="1" applyFont="1">
      <alignment horizontal="center" shrinkToFit="0" vertical="bottom" wrapText="0"/>
    </xf>
    <xf borderId="1" fillId="7" fontId="9" numFmtId="165" xfId="0" applyAlignment="1" applyBorder="1" applyFont="1" applyNumberFormat="1">
      <alignment horizontal="left" shrinkToFit="0" vertical="center" wrapText="0"/>
    </xf>
    <xf borderId="1" fillId="3" fontId="16" numFmtId="0" xfId="0" applyAlignment="1" applyBorder="1" applyFont="1">
      <alignment horizontal="left" shrinkToFit="0" vertical="center" wrapText="0"/>
    </xf>
    <xf borderId="1" fillId="7" fontId="9" numFmtId="3" xfId="0" applyAlignment="1" applyBorder="1" applyFont="1" applyNumberFormat="1">
      <alignment horizontal="left" shrinkToFit="0" vertical="center" wrapText="0"/>
    </xf>
    <xf borderId="2" fillId="2" fontId="10" numFmtId="0" xfId="0" applyAlignment="1" applyBorder="1" applyFont="1">
      <alignment horizontal="center" shrinkToFit="0" vertical="bottom" wrapText="0"/>
    </xf>
    <xf borderId="2" fillId="4" fontId="17" numFmtId="0" xfId="0" applyAlignment="1" applyBorder="1" applyFont="1">
      <alignment horizontal="left" shrinkToFit="0" vertical="center" wrapText="0"/>
    </xf>
    <xf borderId="0" fillId="0" fontId="9" numFmtId="166" xfId="0" applyAlignment="1" applyFont="1" applyNumberFormat="1">
      <alignment horizontal="left" shrinkToFit="0" vertical="center" wrapText="0"/>
    </xf>
    <xf borderId="0" fillId="0" fontId="18" numFmtId="166" xfId="0" applyAlignment="1" applyFont="1" applyNumberFormat="1">
      <alignment horizontal="left" shrinkToFit="0" vertical="center" wrapText="0"/>
    </xf>
    <xf borderId="0" fillId="0" fontId="9" numFmtId="3" xfId="0" applyAlignment="1" applyFont="1" applyNumberFormat="1">
      <alignment horizontal="left" shrinkToFit="0" vertical="center" wrapText="0"/>
    </xf>
    <xf borderId="0" fillId="0" fontId="9" numFmtId="167" xfId="0" applyAlignment="1" applyFont="1" applyNumberFormat="1">
      <alignment horizontal="left" shrinkToFit="0" vertical="center" wrapText="0"/>
    </xf>
    <xf borderId="0" fillId="0" fontId="9" numFmtId="168" xfId="0" applyAlignment="1" applyFont="1" applyNumberFormat="1">
      <alignment horizontal="left" shrinkToFit="0" vertical="center" wrapText="0"/>
    </xf>
    <xf borderId="0" fillId="0" fontId="18" numFmtId="169" xfId="0" applyAlignment="1" applyFont="1" applyNumberFormat="1">
      <alignment horizontal="left" shrinkToFit="0" vertical="center" wrapText="0"/>
    </xf>
    <xf borderId="0" fillId="0" fontId="19" numFmtId="0" xfId="0" applyAlignment="1" applyFont="1">
      <alignment horizontal="left" shrinkToFit="0" vertical="center" wrapText="0"/>
    </xf>
    <xf borderId="0" fillId="0" fontId="20" numFmtId="0" xfId="0" applyAlignment="1" applyFont="1">
      <alignment horizontal="left" shrinkToFit="0" vertical="center" wrapText="0"/>
    </xf>
    <xf borderId="5" fillId="5" fontId="21" numFmtId="166" xfId="0" applyAlignment="1" applyBorder="1" applyFont="1" applyNumberFormat="1">
      <alignment horizontal="center" shrinkToFit="0" vertical="center" wrapText="0"/>
    </xf>
    <xf borderId="6" fillId="0" fontId="11" numFmtId="0" xfId="0" applyBorder="1" applyFont="1"/>
    <xf borderId="5" fillId="5" fontId="21" numFmtId="167" xfId="0" applyAlignment="1" applyBorder="1" applyFont="1" applyNumberFormat="1">
      <alignment horizontal="center" shrinkToFit="0" vertical="center" wrapText="0"/>
    </xf>
    <xf borderId="5" fillId="5" fontId="21" numFmtId="3" xfId="0" applyAlignment="1" applyBorder="1" applyFont="1" applyNumberFormat="1">
      <alignment horizontal="center" shrinkToFit="0" vertical="center" wrapText="0"/>
    </xf>
    <xf borderId="5" fillId="5" fontId="21" numFmtId="1" xfId="0" applyAlignment="1" applyBorder="1" applyFont="1" applyNumberFormat="1">
      <alignment horizontal="center" shrinkToFit="0" vertical="center" wrapText="0"/>
    </xf>
    <xf borderId="7" fillId="0" fontId="11" numFmtId="0" xfId="0" applyBorder="1" applyFont="1"/>
    <xf borderId="8" fillId="0" fontId="11" numFmtId="0" xfId="0" applyBorder="1" applyFont="1"/>
    <xf borderId="0" fillId="0" fontId="8" numFmtId="0" xfId="0" applyAlignment="1" applyFont="1">
      <alignment horizontal="center" shrinkToFit="0" vertical="bottom" wrapText="0"/>
    </xf>
    <xf borderId="0" fillId="0" fontId="9" numFmtId="165" xfId="0" applyAlignment="1" applyFont="1" applyNumberFormat="1">
      <alignment horizontal="left" shrinkToFit="0" vertical="center" wrapText="0"/>
    </xf>
    <xf borderId="0" fillId="0" fontId="9" numFmtId="1" xfId="0" applyAlignment="1" applyFont="1" applyNumberFormat="1">
      <alignment horizontal="center" shrinkToFit="0" vertical="bottom" wrapText="0"/>
    </xf>
    <xf borderId="0" fillId="0" fontId="9" numFmtId="0" xfId="0" applyAlignment="1" applyFont="1">
      <alignment horizontal="center" shrinkToFit="0" vertical="bottom" wrapText="0"/>
    </xf>
    <xf borderId="0" fillId="0" fontId="22" numFmtId="0" xfId="0" applyAlignment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12.0"/>
    <col customWidth="1" min="2" max="2" width="25.0"/>
    <col customWidth="1" min="3" max="4" width="15.0"/>
    <col customWidth="1" min="5" max="5" width="18.0"/>
    <col customWidth="1" min="6" max="7" width="16.0"/>
    <col customWidth="1" min="8" max="8" width="18.0"/>
    <col customWidth="1" min="9" max="9" width="12.0"/>
    <col customWidth="1" min="10" max="26" width="8.71"/>
  </cols>
  <sheetData>
    <row r="1" ht="34.5" customHeight="1">
      <c r="A1" s="1" t="s">
        <v>0</v>
      </c>
      <c r="J1" s="2"/>
      <c r="K1" s="2"/>
      <c r="L1" s="2"/>
      <c r="M1" s="2"/>
      <c r="N1" s="2"/>
    </row>
    <row r="2" ht="24.75" customHeight="1">
      <c r="A2" s="3" t="s">
        <v>1</v>
      </c>
      <c r="J2" s="2"/>
      <c r="K2" s="2"/>
      <c r="L2" s="2"/>
      <c r="M2" s="2"/>
      <c r="N2" s="2"/>
    </row>
    <row r="3" ht="24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ht="24.0" customHeight="1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2"/>
      <c r="K4" s="2"/>
      <c r="L4" s="2"/>
      <c r="M4" s="2"/>
      <c r="N4" s="2"/>
    </row>
    <row r="5" ht="24.0" customHeight="1">
      <c r="A5" s="5" t="s">
        <v>11</v>
      </c>
      <c r="B5" s="5" t="s">
        <v>12</v>
      </c>
      <c r="C5" s="6">
        <v>120.0</v>
      </c>
      <c r="D5" s="6">
        <v>343.99</v>
      </c>
      <c r="E5" s="6">
        <v>275.0</v>
      </c>
      <c r="F5" s="7">
        <v>3.0</v>
      </c>
      <c r="G5" s="7">
        <v>100.0</v>
      </c>
      <c r="H5" s="7">
        <v>250.0</v>
      </c>
      <c r="I5" s="7">
        <v>50.0</v>
      </c>
      <c r="J5" s="2"/>
      <c r="K5" s="2"/>
      <c r="L5" s="2"/>
      <c r="M5" s="2"/>
      <c r="N5" s="2"/>
    </row>
    <row r="6" ht="24.0" customHeight="1">
      <c r="A6" s="5" t="s">
        <v>13</v>
      </c>
      <c r="B6" s="5" t="s">
        <v>14</v>
      </c>
      <c r="C6" s="6">
        <v>120.0</v>
      </c>
      <c r="D6" s="6">
        <v>343.99</v>
      </c>
      <c r="E6" s="6">
        <v>275.0</v>
      </c>
      <c r="F6" s="7">
        <v>3.0</v>
      </c>
      <c r="G6" s="7">
        <v>100.0</v>
      </c>
      <c r="H6" s="7">
        <v>180.0</v>
      </c>
      <c r="I6" s="7">
        <v>50.0</v>
      </c>
      <c r="J6" s="2"/>
      <c r="K6" s="2"/>
      <c r="L6" s="2"/>
      <c r="M6" s="2"/>
      <c r="N6" s="2"/>
    </row>
    <row r="7" ht="24.0" customHeight="1">
      <c r="A7" s="5" t="s">
        <v>15</v>
      </c>
      <c r="B7" s="5" t="s">
        <v>16</v>
      </c>
      <c r="C7" s="6">
        <v>120.0</v>
      </c>
      <c r="D7" s="6">
        <v>343.99</v>
      </c>
      <c r="E7" s="6">
        <v>275.0</v>
      </c>
      <c r="F7" s="7">
        <v>3.0</v>
      </c>
      <c r="G7" s="7">
        <v>80.0</v>
      </c>
      <c r="H7" s="7">
        <v>150.0</v>
      </c>
      <c r="I7" s="7">
        <v>50.0</v>
      </c>
      <c r="J7" s="2"/>
      <c r="K7" s="2"/>
      <c r="L7" s="2"/>
      <c r="M7" s="2"/>
      <c r="N7" s="2"/>
    </row>
    <row r="8" ht="24.0" customHeight="1">
      <c r="A8" s="5" t="s">
        <v>17</v>
      </c>
      <c r="B8" s="5" t="s">
        <v>18</v>
      </c>
      <c r="C8" s="6">
        <v>120.0</v>
      </c>
      <c r="D8" s="6">
        <v>343.99</v>
      </c>
      <c r="E8" s="6">
        <v>275.0</v>
      </c>
      <c r="F8" s="7">
        <v>3.0</v>
      </c>
      <c r="G8" s="7">
        <v>80.0</v>
      </c>
      <c r="H8" s="7">
        <v>120.0</v>
      </c>
      <c r="I8" s="7">
        <v>50.0</v>
      </c>
      <c r="J8" s="2"/>
      <c r="K8" s="2"/>
      <c r="L8" s="2"/>
      <c r="M8" s="2"/>
      <c r="N8" s="2"/>
    </row>
    <row r="9" ht="24.0" customHeight="1">
      <c r="A9" s="5" t="s">
        <v>19</v>
      </c>
      <c r="B9" s="5" t="s">
        <v>20</v>
      </c>
      <c r="C9" s="6">
        <v>125.0</v>
      </c>
      <c r="D9" s="6">
        <v>343.99</v>
      </c>
      <c r="E9" s="6">
        <v>280.0</v>
      </c>
      <c r="F9" s="7">
        <v>3.0</v>
      </c>
      <c r="G9" s="7">
        <v>80.0</v>
      </c>
      <c r="H9" s="7">
        <v>110.0</v>
      </c>
      <c r="I9" s="7">
        <v>50.0</v>
      </c>
      <c r="J9" s="2"/>
      <c r="K9" s="2"/>
      <c r="L9" s="2"/>
      <c r="M9" s="2"/>
      <c r="N9" s="2"/>
    </row>
    <row r="10" ht="24.0" customHeight="1">
      <c r="A10" s="5" t="s">
        <v>21</v>
      </c>
      <c r="B10" s="5" t="s">
        <v>22</v>
      </c>
      <c r="C10" s="6">
        <v>125.0</v>
      </c>
      <c r="D10" s="6">
        <v>343.99</v>
      </c>
      <c r="E10" s="6">
        <v>280.0</v>
      </c>
      <c r="F10" s="7">
        <v>3.0</v>
      </c>
      <c r="G10" s="7">
        <v>70.0</v>
      </c>
      <c r="H10" s="7">
        <v>90.0</v>
      </c>
      <c r="I10" s="7">
        <v>50.0</v>
      </c>
      <c r="J10" s="2"/>
      <c r="K10" s="2"/>
      <c r="L10" s="2"/>
      <c r="M10" s="2"/>
      <c r="N10" s="2"/>
    </row>
    <row r="11" ht="24.0" customHeight="1">
      <c r="A11" s="5" t="s">
        <v>23</v>
      </c>
      <c r="B11" s="5" t="s">
        <v>24</v>
      </c>
      <c r="C11" s="6">
        <v>3.5</v>
      </c>
      <c r="D11" s="6">
        <v>8.99</v>
      </c>
      <c r="E11" s="6">
        <v>6.5</v>
      </c>
      <c r="F11" s="7">
        <v>2.0</v>
      </c>
      <c r="G11" s="7">
        <v>500.0</v>
      </c>
      <c r="H11" s="7">
        <v>800.0</v>
      </c>
      <c r="I11" s="7">
        <v>200.0</v>
      </c>
      <c r="J11" s="2"/>
      <c r="K11" s="2"/>
      <c r="L11" s="2"/>
      <c r="M11" s="2"/>
      <c r="N11" s="2"/>
    </row>
    <row r="12" ht="24.0" customHeight="1">
      <c r="A12" s="5" t="s">
        <v>25</v>
      </c>
      <c r="B12" s="5" t="s">
        <v>26</v>
      </c>
      <c r="C12" s="6">
        <v>4.0</v>
      </c>
      <c r="D12" s="6">
        <v>8.99</v>
      </c>
      <c r="E12" s="6">
        <v>6.5</v>
      </c>
      <c r="F12" s="7">
        <v>2.0</v>
      </c>
      <c r="G12" s="7">
        <v>400.0</v>
      </c>
      <c r="H12" s="7">
        <v>600.0</v>
      </c>
      <c r="I12" s="7">
        <v>200.0</v>
      </c>
      <c r="J12" s="2"/>
      <c r="K12" s="2"/>
      <c r="L12" s="2"/>
      <c r="M12" s="2"/>
      <c r="N12" s="2"/>
    </row>
    <row r="13" ht="24.0" customHeight="1">
      <c r="A13" s="5" t="s">
        <v>27</v>
      </c>
      <c r="B13" s="5" t="s">
        <v>28</v>
      </c>
      <c r="C13" s="6">
        <v>8.0</v>
      </c>
      <c r="D13" s="6">
        <v>19.99</v>
      </c>
      <c r="E13" s="6">
        <v>14.0</v>
      </c>
      <c r="F13" s="7">
        <v>2.0</v>
      </c>
      <c r="G13" s="7">
        <v>200.0</v>
      </c>
      <c r="H13" s="7">
        <v>350.0</v>
      </c>
      <c r="I13" s="7">
        <v>100.0</v>
      </c>
      <c r="J13" s="2"/>
      <c r="K13" s="2"/>
      <c r="L13" s="2"/>
      <c r="M13" s="2"/>
      <c r="N13" s="2"/>
    </row>
    <row r="14" ht="24.0" customHeight="1">
      <c r="A14" s="5" t="s">
        <v>29</v>
      </c>
      <c r="B14" s="5" t="s">
        <v>30</v>
      </c>
      <c r="C14" s="6">
        <v>25.0</v>
      </c>
      <c r="D14" s="6">
        <v>49.99</v>
      </c>
      <c r="E14" s="6">
        <v>35.0</v>
      </c>
      <c r="F14" s="7">
        <v>2.0</v>
      </c>
      <c r="G14" s="7">
        <v>150.0</v>
      </c>
      <c r="H14" s="7">
        <v>300.0</v>
      </c>
      <c r="I14" s="7">
        <v>75.0</v>
      </c>
      <c r="J14" s="2"/>
      <c r="K14" s="2"/>
      <c r="L14" s="2"/>
      <c r="M14" s="2"/>
      <c r="N14" s="2"/>
    </row>
    <row r="15" ht="9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ht="24.0" customHeight="1">
      <c r="A16" s="8" t="s">
        <v>31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ht="24.0" customHeight="1">
      <c r="A17" s="9" t="s">
        <v>32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ht="24.0" customHeight="1">
      <c r="A18" s="9" t="s">
        <v>33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ht="24.0" customHeight="1">
      <c r="A19" s="9" t="s">
        <v>34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ht="24.0" customHeight="1">
      <c r="A20" s="9" t="s">
        <v>35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ht="24.0" customHeight="1">
      <c r="A30" s="10"/>
      <c r="B30" s="10"/>
      <c r="C30" s="10"/>
      <c r="D30" s="10"/>
      <c r="E30" s="10"/>
      <c r="F30" s="10"/>
      <c r="G30" s="10"/>
      <c r="H30" s="10"/>
      <c r="I30" s="10"/>
    </row>
    <row r="31" ht="24.0" customHeight="1">
      <c r="A31" s="10"/>
      <c r="B31" s="10"/>
      <c r="C31" s="10"/>
      <c r="D31" s="10"/>
      <c r="E31" s="10"/>
      <c r="F31" s="10"/>
      <c r="G31" s="10"/>
      <c r="H31" s="10"/>
      <c r="I31" s="10"/>
    </row>
    <row r="32" ht="24.0" customHeight="1">
      <c r="A32" s="10"/>
      <c r="B32" s="10"/>
      <c r="C32" s="10"/>
      <c r="D32" s="10"/>
      <c r="E32" s="10"/>
      <c r="F32" s="10"/>
      <c r="G32" s="10"/>
      <c r="H32" s="10"/>
      <c r="I32" s="10"/>
    </row>
    <row r="33" ht="24.0" customHeight="1">
      <c r="A33" s="10"/>
      <c r="B33" s="10"/>
      <c r="C33" s="10"/>
      <c r="D33" s="10"/>
      <c r="E33" s="10"/>
      <c r="F33" s="10"/>
      <c r="G33" s="10"/>
      <c r="H33" s="10"/>
      <c r="I33" s="10"/>
    </row>
    <row r="34" ht="24.0" customHeight="1">
      <c r="A34" s="10"/>
      <c r="B34" s="10"/>
      <c r="C34" s="10"/>
      <c r="D34" s="10"/>
      <c r="E34" s="10"/>
      <c r="F34" s="10"/>
      <c r="G34" s="10"/>
      <c r="H34" s="10"/>
      <c r="I34" s="10"/>
    </row>
    <row r="35" ht="24.0" customHeight="1">
      <c r="A35" s="10"/>
      <c r="B35" s="10"/>
      <c r="C35" s="10"/>
      <c r="D35" s="10"/>
      <c r="E35" s="10"/>
      <c r="F35" s="10"/>
      <c r="G35" s="10"/>
      <c r="H35" s="10"/>
      <c r="I35" s="10"/>
    </row>
    <row r="36" ht="24.0" customHeight="1">
      <c r="A36" s="10"/>
      <c r="B36" s="10"/>
      <c r="C36" s="10"/>
      <c r="D36" s="10"/>
      <c r="E36" s="10"/>
      <c r="F36" s="10"/>
      <c r="G36" s="10"/>
      <c r="H36" s="10"/>
      <c r="I36" s="10"/>
    </row>
    <row r="37" ht="24.0" customHeight="1">
      <c r="A37" s="10"/>
      <c r="B37" s="10"/>
      <c r="C37" s="10"/>
      <c r="D37" s="10"/>
      <c r="E37" s="10"/>
      <c r="F37" s="10"/>
      <c r="G37" s="10"/>
      <c r="H37" s="10"/>
      <c r="I37" s="10"/>
    </row>
    <row r="38" ht="24.0" customHeight="1">
      <c r="A38" s="10"/>
      <c r="B38" s="10"/>
      <c r="C38" s="10"/>
      <c r="D38" s="10"/>
      <c r="E38" s="10"/>
      <c r="F38" s="10"/>
      <c r="G38" s="10"/>
      <c r="H38" s="10"/>
      <c r="I38" s="10"/>
    </row>
    <row r="39" ht="24.0" customHeight="1">
      <c r="A39" s="10"/>
      <c r="B39" s="10"/>
      <c r="C39" s="10"/>
      <c r="D39" s="10"/>
      <c r="E39" s="10"/>
      <c r="F39" s="10"/>
      <c r="G39" s="10"/>
      <c r="H39" s="10"/>
      <c r="I39" s="10"/>
    </row>
    <row r="40" ht="24.0" customHeight="1">
      <c r="A40" s="10"/>
      <c r="B40" s="10"/>
      <c r="C40" s="10"/>
      <c r="D40" s="10"/>
      <c r="E40" s="10"/>
      <c r="F40" s="10"/>
      <c r="G40" s="10"/>
      <c r="H40" s="10"/>
      <c r="I40" s="10"/>
    </row>
    <row r="41" ht="24.0" customHeight="1">
      <c r="A41" s="10"/>
      <c r="B41" s="10"/>
      <c r="C41" s="10"/>
      <c r="D41" s="10"/>
      <c r="E41" s="10"/>
      <c r="F41" s="10"/>
      <c r="G41" s="10"/>
      <c r="H41" s="10"/>
      <c r="I41" s="10"/>
    </row>
    <row r="42" ht="24.0" customHeight="1">
      <c r="A42" s="10"/>
      <c r="B42" s="10"/>
      <c r="C42" s="10"/>
      <c r="D42" s="10"/>
      <c r="E42" s="10"/>
      <c r="F42" s="10"/>
      <c r="G42" s="10"/>
      <c r="H42" s="10"/>
      <c r="I42" s="10"/>
    </row>
    <row r="43" ht="24.0" customHeight="1">
      <c r="A43" s="10"/>
      <c r="B43" s="10"/>
      <c r="C43" s="10"/>
      <c r="D43" s="10"/>
      <c r="E43" s="10"/>
      <c r="F43" s="10"/>
      <c r="G43" s="10"/>
      <c r="H43" s="10"/>
      <c r="I43" s="10"/>
    </row>
    <row r="44" ht="24.0" customHeight="1">
      <c r="A44" s="10"/>
      <c r="B44" s="10"/>
      <c r="C44" s="10"/>
      <c r="D44" s="10"/>
      <c r="E44" s="10"/>
      <c r="F44" s="10"/>
      <c r="G44" s="10"/>
      <c r="H44" s="10"/>
      <c r="I44" s="10"/>
    </row>
    <row r="45" ht="24.0" customHeight="1">
      <c r="A45" s="10"/>
      <c r="B45" s="10"/>
      <c r="C45" s="10"/>
      <c r="D45" s="10"/>
      <c r="E45" s="10"/>
      <c r="F45" s="10"/>
      <c r="G45" s="10"/>
      <c r="H45" s="10"/>
      <c r="I45" s="10"/>
    </row>
    <row r="46" ht="24.0" customHeight="1">
      <c r="A46" s="10"/>
      <c r="B46" s="10"/>
      <c r="C46" s="10"/>
      <c r="D46" s="10"/>
      <c r="E46" s="10"/>
      <c r="F46" s="10"/>
      <c r="G46" s="10"/>
      <c r="H46" s="10"/>
      <c r="I46" s="10"/>
    </row>
    <row r="47" ht="24.0" customHeight="1">
      <c r="A47" s="10"/>
      <c r="B47" s="10"/>
      <c r="C47" s="10"/>
      <c r="D47" s="10"/>
      <c r="E47" s="10"/>
      <c r="F47" s="10"/>
      <c r="G47" s="10"/>
      <c r="H47" s="10"/>
      <c r="I47" s="10"/>
    </row>
    <row r="48" ht="24.0" customHeight="1">
      <c r="A48" s="10"/>
      <c r="B48" s="10"/>
      <c r="C48" s="10"/>
      <c r="D48" s="10"/>
      <c r="E48" s="10"/>
      <c r="F48" s="10"/>
      <c r="G48" s="10"/>
      <c r="H48" s="10"/>
      <c r="I48" s="10"/>
    </row>
    <row r="49" ht="24.0" customHeight="1">
      <c r="A49" s="10"/>
      <c r="B49" s="10"/>
      <c r="C49" s="10"/>
      <c r="D49" s="10"/>
      <c r="E49" s="10"/>
      <c r="F49" s="10"/>
      <c r="G49" s="10"/>
      <c r="H49" s="10"/>
      <c r="I49" s="10"/>
    </row>
    <row r="50" ht="24.0" customHeight="1">
      <c r="A50" s="10"/>
      <c r="B50" s="10"/>
      <c r="C50" s="10"/>
      <c r="D50" s="10"/>
      <c r="E50" s="10"/>
      <c r="F50" s="10"/>
      <c r="G50" s="10"/>
      <c r="H50" s="10"/>
      <c r="I50" s="10"/>
    </row>
    <row r="51" ht="24.0" customHeight="1">
      <c r="A51" s="10"/>
      <c r="B51" s="10"/>
      <c r="C51" s="10"/>
      <c r="D51" s="10"/>
      <c r="E51" s="10"/>
      <c r="F51" s="10"/>
      <c r="G51" s="10"/>
      <c r="H51" s="10"/>
      <c r="I51" s="10"/>
    </row>
    <row r="52" ht="24.0" customHeight="1">
      <c r="A52" s="10"/>
      <c r="B52" s="10"/>
      <c r="C52" s="10"/>
      <c r="D52" s="10"/>
      <c r="E52" s="10"/>
      <c r="F52" s="10"/>
      <c r="G52" s="10"/>
      <c r="H52" s="10"/>
      <c r="I52" s="10"/>
    </row>
    <row r="53" ht="24.0" customHeight="1">
      <c r="A53" s="10"/>
      <c r="B53" s="10"/>
      <c r="C53" s="10"/>
      <c r="D53" s="10"/>
      <c r="E53" s="10"/>
      <c r="F53" s="10"/>
      <c r="G53" s="10"/>
      <c r="H53" s="10"/>
      <c r="I53" s="10"/>
    </row>
    <row r="54" ht="24.0" customHeight="1">
      <c r="A54" s="10"/>
      <c r="B54" s="10"/>
      <c r="C54" s="10"/>
      <c r="D54" s="10"/>
      <c r="E54" s="10"/>
      <c r="F54" s="10"/>
      <c r="G54" s="10"/>
      <c r="H54" s="10"/>
      <c r="I54" s="10"/>
    </row>
    <row r="55" ht="24.0" customHeight="1">
      <c r="A55" s="10"/>
      <c r="B55" s="10"/>
      <c r="C55" s="10"/>
      <c r="D55" s="10"/>
      <c r="E55" s="10"/>
      <c r="F55" s="10"/>
      <c r="G55" s="10"/>
      <c r="H55" s="10"/>
      <c r="I55" s="10"/>
    </row>
    <row r="56" ht="24.0" customHeight="1">
      <c r="A56" s="10"/>
      <c r="B56" s="10"/>
      <c r="C56" s="10"/>
      <c r="D56" s="10"/>
      <c r="E56" s="10"/>
      <c r="F56" s="10"/>
      <c r="G56" s="10"/>
      <c r="H56" s="10"/>
      <c r="I56" s="10"/>
    </row>
    <row r="57" ht="24.0" customHeight="1">
      <c r="A57" s="10"/>
      <c r="B57" s="10"/>
      <c r="C57" s="10"/>
      <c r="D57" s="10"/>
      <c r="E57" s="10"/>
      <c r="F57" s="10"/>
      <c r="G57" s="10"/>
      <c r="H57" s="10"/>
      <c r="I57" s="10"/>
    </row>
    <row r="58" ht="24.0" customHeight="1">
      <c r="A58" s="10"/>
      <c r="B58" s="10"/>
      <c r="C58" s="10"/>
      <c r="D58" s="10"/>
      <c r="E58" s="10"/>
      <c r="F58" s="10"/>
      <c r="G58" s="10"/>
      <c r="H58" s="10"/>
      <c r="I58" s="10"/>
    </row>
    <row r="59" ht="24.0" customHeight="1">
      <c r="A59" s="10"/>
      <c r="B59" s="10"/>
      <c r="C59" s="10"/>
      <c r="D59" s="10"/>
      <c r="E59" s="10"/>
      <c r="F59" s="10"/>
      <c r="G59" s="10"/>
      <c r="H59" s="10"/>
      <c r="I59" s="10"/>
    </row>
    <row r="60" ht="24.0" customHeight="1">
      <c r="A60" s="10"/>
      <c r="B60" s="10"/>
      <c r="C60" s="10"/>
      <c r="D60" s="10"/>
      <c r="E60" s="10"/>
      <c r="F60" s="10"/>
      <c r="G60" s="10"/>
      <c r="H60" s="10"/>
      <c r="I60" s="10"/>
    </row>
    <row r="61" ht="24.0" customHeight="1">
      <c r="A61" s="10"/>
      <c r="B61" s="10"/>
      <c r="C61" s="10"/>
      <c r="D61" s="10"/>
      <c r="E61" s="10"/>
      <c r="F61" s="10"/>
      <c r="G61" s="10"/>
      <c r="H61" s="10"/>
      <c r="I61" s="10"/>
    </row>
    <row r="62" ht="24.0" customHeight="1">
      <c r="A62" s="10"/>
      <c r="B62" s="10"/>
      <c r="C62" s="10"/>
      <c r="D62" s="10"/>
      <c r="E62" s="10"/>
      <c r="F62" s="10"/>
      <c r="G62" s="10"/>
      <c r="H62" s="10"/>
      <c r="I62" s="10"/>
    </row>
    <row r="63" ht="24.0" customHeight="1">
      <c r="A63" s="10"/>
      <c r="B63" s="10"/>
      <c r="C63" s="10"/>
      <c r="D63" s="10"/>
      <c r="E63" s="10"/>
      <c r="F63" s="10"/>
      <c r="G63" s="10"/>
      <c r="H63" s="10"/>
      <c r="I63" s="10"/>
    </row>
    <row r="64" ht="24.0" customHeight="1">
      <c r="A64" s="10"/>
      <c r="B64" s="10"/>
      <c r="C64" s="10"/>
      <c r="D64" s="10"/>
      <c r="E64" s="10"/>
      <c r="F64" s="10"/>
      <c r="G64" s="10"/>
      <c r="H64" s="10"/>
      <c r="I64" s="10"/>
    </row>
    <row r="65" ht="24.0" customHeight="1">
      <c r="A65" s="10"/>
      <c r="B65" s="10"/>
      <c r="C65" s="10"/>
      <c r="D65" s="10"/>
      <c r="E65" s="10"/>
      <c r="F65" s="10"/>
      <c r="G65" s="10"/>
      <c r="H65" s="10"/>
      <c r="I65" s="10"/>
    </row>
    <row r="66" ht="24.0" customHeight="1">
      <c r="A66" s="10"/>
      <c r="B66" s="10"/>
      <c r="C66" s="10"/>
      <c r="D66" s="10"/>
      <c r="E66" s="10"/>
      <c r="F66" s="10"/>
      <c r="G66" s="10"/>
      <c r="H66" s="10"/>
      <c r="I66" s="10"/>
    </row>
    <row r="67" ht="24.0" customHeight="1">
      <c r="A67" s="10"/>
      <c r="B67" s="10"/>
      <c r="C67" s="10"/>
      <c r="D67" s="10"/>
      <c r="E67" s="10"/>
      <c r="F67" s="10"/>
      <c r="G67" s="10"/>
      <c r="H67" s="10"/>
      <c r="I67" s="10"/>
    </row>
    <row r="68" ht="24.0" customHeight="1">
      <c r="A68" s="10"/>
      <c r="B68" s="10"/>
      <c r="C68" s="10"/>
      <c r="D68" s="10"/>
      <c r="E68" s="10"/>
      <c r="F68" s="10"/>
      <c r="G68" s="10"/>
      <c r="H68" s="10"/>
      <c r="I68" s="10"/>
    </row>
    <row r="69" ht="24.0" customHeight="1">
      <c r="A69" s="10"/>
      <c r="B69" s="10"/>
      <c r="C69" s="10"/>
      <c r="D69" s="10"/>
      <c r="E69" s="10"/>
      <c r="F69" s="10"/>
      <c r="G69" s="10"/>
      <c r="H69" s="10"/>
      <c r="I69" s="10"/>
    </row>
    <row r="70" ht="24.0" customHeight="1">
      <c r="A70" s="10"/>
      <c r="B70" s="10"/>
      <c r="C70" s="10"/>
      <c r="D70" s="10"/>
      <c r="E70" s="10"/>
      <c r="F70" s="10"/>
      <c r="G70" s="10"/>
      <c r="H70" s="10"/>
      <c r="I70" s="10"/>
    </row>
    <row r="71" ht="24.0" customHeight="1">
      <c r="A71" s="10"/>
      <c r="B71" s="10"/>
      <c r="C71" s="10"/>
      <c r="D71" s="10"/>
      <c r="E71" s="10"/>
      <c r="F71" s="10"/>
      <c r="G71" s="10"/>
      <c r="H71" s="10"/>
      <c r="I71" s="10"/>
    </row>
    <row r="72" ht="24.0" customHeight="1">
      <c r="A72" s="10"/>
      <c r="B72" s="10"/>
      <c r="C72" s="10"/>
      <c r="D72" s="10"/>
      <c r="E72" s="10"/>
      <c r="F72" s="10"/>
      <c r="G72" s="10"/>
      <c r="H72" s="10"/>
      <c r="I72" s="10"/>
    </row>
    <row r="73" ht="24.0" customHeight="1">
      <c r="A73" s="10"/>
      <c r="B73" s="10"/>
      <c r="C73" s="10"/>
      <c r="D73" s="10"/>
      <c r="E73" s="10"/>
      <c r="F73" s="10"/>
      <c r="G73" s="10"/>
      <c r="H73" s="10"/>
      <c r="I73" s="10"/>
    </row>
    <row r="74" ht="24.0" customHeight="1">
      <c r="A74" s="10"/>
      <c r="B74" s="10"/>
      <c r="C74" s="10"/>
      <c r="D74" s="10"/>
      <c r="E74" s="10"/>
      <c r="F74" s="10"/>
      <c r="G74" s="10"/>
      <c r="H74" s="10"/>
      <c r="I74" s="10"/>
    </row>
    <row r="75" ht="24.0" customHeight="1">
      <c r="A75" s="10"/>
      <c r="B75" s="10"/>
      <c r="C75" s="10"/>
      <c r="D75" s="10"/>
      <c r="E75" s="10"/>
      <c r="F75" s="10"/>
      <c r="G75" s="10"/>
      <c r="H75" s="10"/>
      <c r="I75" s="10"/>
    </row>
    <row r="76" ht="24.0" customHeight="1">
      <c r="A76" s="10"/>
      <c r="B76" s="10"/>
      <c r="C76" s="10"/>
      <c r="D76" s="10"/>
      <c r="E76" s="10"/>
      <c r="F76" s="10"/>
      <c r="G76" s="10"/>
      <c r="H76" s="10"/>
      <c r="I76" s="10"/>
    </row>
    <row r="77" ht="24.0" customHeight="1">
      <c r="A77" s="10"/>
      <c r="B77" s="10"/>
      <c r="C77" s="10"/>
      <c r="D77" s="10"/>
      <c r="E77" s="10"/>
      <c r="F77" s="10"/>
      <c r="G77" s="10"/>
      <c r="H77" s="10"/>
      <c r="I77" s="10"/>
    </row>
    <row r="78" ht="24.0" customHeight="1">
      <c r="A78" s="10"/>
      <c r="B78" s="10"/>
      <c r="C78" s="10"/>
      <c r="D78" s="10"/>
      <c r="E78" s="10"/>
      <c r="F78" s="10"/>
      <c r="G78" s="10"/>
      <c r="H78" s="10"/>
      <c r="I78" s="10"/>
    </row>
    <row r="79" ht="24.0" customHeight="1">
      <c r="A79" s="10"/>
      <c r="B79" s="10"/>
      <c r="C79" s="10"/>
      <c r="D79" s="10"/>
      <c r="E79" s="10"/>
      <c r="F79" s="10"/>
      <c r="G79" s="10"/>
      <c r="H79" s="10"/>
      <c r="I79" s="10"/>
    </row>
    <row r="80" ht="24.0" customHeight="1">
      <c r="A80" s="10"/>
      <c r="B80" s="10"/>
      <c r="C80" s="10"/>
      <c r="D80" s="10"/>
      <c r="E80" s="10"/>
      <c r="F80" s="10"/>
      <c r="G80" s="10"/>
      <c r="H80" s="10"/>
      <c r="I80" s="10"/>
    </row>
    <row r="81" ht="24.0" customHeight="1">
      <c r="A81" s="10"/>
      <c r="B81" s="10"/>
      <c r="C81" s="10"/>
      <c r="D81" s="10"/>
      <c r="E81" s="10"/>
      <c r="F81" s="10"/>
      <c r="G81" s="10"/>
      <c r="H81" s="10"/>
      <c r="I81" s="10"/>
    </row>
    <row r="82" ht="24.0" customHeight="1">
      <c r="A82" s="10"/>
      <c r="B82" s="10"/>
      <c r="C82" s="10"/>
      <c r="D82" s="10"/>
      <c r="E82" s="10"/>
      <c r="F82" s="10"/>
      <c r="G82" s="10"/>
      <c r="H82" s="10"/>
      <c r="I82" s="10"/>
    </row>
    <row r="83" ht="24.0" customHeight="1">
      <c r="A83" s="10"/>
      <c r="B83" s="10"/>
      <c r="C83" s="10"/>
      <c r="D83" s="10"/>
      <c r="E83" s="10"/>
      <c r="F83" s="10"/>
      <c r="G83" s="10"/>
      <c r="H83" s="10"/>
      <c r="I83" s="10"/>
    </row>
    <row r="84" ht="24.0" customHeight="1">
      <c r="A84" s="10"/>
      <c r="B84" s="10"/>
      <c r="C84" s="10"/>
      <c r="D84" s="10"/>
      <c r="E84" s="10"/>
      <c r="F84" s="10"/>
      <c r="G84" s="10"/>
      <c r="H84" s="10"/>
      <c r="I84" s="10"/>
    </row>
    <row r="85" ht="24.0" customHeight="1">
      <c r="A85" s="10"/>
      <c r="B85" s="10"/>
      <c r="C85" s="10"/>
      <c r="D85" s="10"/>
      <c r="E85" s="10"/>
      <c r="F85" s="10"/>
      <c r="G85" s="10"/>
      <c r="H85" s="10"/>
      <c r="I85" s="10"/>
    </row>
    <row r="86" ht="24.0" customHeight="1">
      <c r="A86" s="10"/>
      <c r="B86" s="10"/>
      <c r="C86" s="10"/>
      <c r="D86" s="10"/>
      <c r="E86" s="10"/>
      <c r="F86" s="10"/>
      <c r="G86" s="10"/>
      <c r="H86" s="10"/>
      <c r="I86" s="10"/>
    </row>
    <row r="87" ht="24.0" customHeight="1">
      <c r="A87" s="10"/>
      <c r="B87" s="10"/>
      <c r="C87" s="10"/>
      <c r="D87" s="10"/>
      <c r="E87" s="10"/>
      <c r="F87" s="10"/>
      <c r="G87" s="10"/>
      <c r="H87" s="10"/>
      <c r="I87" s="10"/>
    </row>
    <row r="88" ht="24.0" customHeight="1">
      <c r="A88" s="10"/>
      <c r="B88" s="10"/>
      <c r="C88" s="10"/>
      <c r="D88" s="10"/>
      <c r="E88" s="10"/>
      <c r="F88" s="10"/>
      <c r="G88" s="10"/>
      <c r="H88" s="10"/>
      <c r="I88" s="10"/>
    </row>
    <row r="89" ht="24.0" customHeight="1">
      <c r="A89" s="10"/>
      <c r="B89" s="10"/>
      <c r="C89" s="10"/>
      <c r="D89" s="10"/>
      <c r="E89" s="10"/>
      <c r="F89" s="10"/>
      <c r="G89" s="10"/>
      <c r="H89" s="10"/>
      <c r="I89" s="10"/>
    </row>
    <row r="90" ht="24.0" customHeight="1">
      <c r="A90" s="10"/>
      <c r="B90" s="10"/>
      <c r="C90" s="10"/>
      <c r="D90" s="10"/>
      <c r="E90" s="10"/>
      <c r="F90" s="10"/>
      <c r="G90" s="10"/>
      <c r="H90" s="10"/>
      <c r="I90" s="10"/>
    </row>
    <row r="91" ht="24.0" customHeight="1">
      <c r="A91" s="10"/>
      <c r="B91" s="10"/>
      <c r="C91" s="10"/>
      <c r="D91" s="10"/>
      <c r="E91" s="10"/>
      <c r="F91" s="10"/>
      <c r="G91" s="10"/>
      <c r="H91" s="10"/>
      <c r="I91" s="10"/>
    </row>
    <row r="92" ht="24.0" customHeight="1">
      <c r="A92" s="10"/>
      <c r="B92" s="10"/>
      <c r="C92" s="10"/>
      <c r="D92" s="10"/>
      <c r="E92" s="10"/>
      <c r="F92" s="10"/>
      <c r="G92" s="10"/>
      <c r="H92" s="10"/>
      <c r="I92" s="10"/>
    </row>
    <row r="93" ht="24.0" customHeight="1">
      <c r="A93" s="10"/>
      <c r="B93" s="10"/>
      <c r="C93" s="10"/>
      <c r="D93" s="10"/>
      <c r="E93" s="10"/>
      <c r="F93" s="10"/>
      <c r="G93" s="10"/>
      <c r="H93" s="10"/>
      <c r="I93" s="10"/>
    </row>
    <row r="94" ht="24.0" customHeight="1">
      <c r="A94" s="10"/>
      <c r="B94" s="10"/>
      <c r="C94" s="10"/>
      <c r="D94" s="10"/>
      <c r="E94" s="10"/>
      <c r="F94" s="10"/>
      <c r="G94" s="10"/>
      <c r="H94" s="10"/>
      <c r="I94" s="10"/>
    </row>
    <row r="95" ht="24.0" customHeight="1">
      <c r="A95" s="10"/>
      <c r="B95" s="10"/>
      <c r="C95" s="10"/>
      <c r="D95" s="10"/>
      <c r="E95" s="10"/>
      <c r="F95" s="10"/>
      <c r="G95" s="10"/>
      <c r="H95" s="10"/>
      <c r="I95" s="10"/>
    </row>
    <row r="96" ht="24.0" customHeight="1">
      <c r="A96" s="10"/>
      <c r="B96" s="10"/>
      <c r="C96" s="10"/>
      <c r="D96" s="10"/>
      <c r="E96" s="10"/>
      <c r="F96" s="10"/>
      <c r="G96" s="10"/>
      <c r="H96" s="10"/>
      <c r="I96" s="10"/>
    </row>
    <row r="97" ht="24.0" customHeight="1">
      <c r="A97" s="10"/>
      <c r="B97" s="10"/>
      <c r="C97" s="10"/>
      <c r="D97" s="10"/>
      <c r="E97" s="10"/>
      <c r="F97" s="10"/>
      <c r="G97" s="10"/>
      <c r="H97" s="10"/>
      <c r="I97" s="10"/>
    </row>
    <row r="98" ht="24.0" customHeight="1">
      <c r="A98" s="10"/>
      <c r="B98" s="10"/>
      <c r="C98" s="10"/>
      <c r="D98" s="10"/>
      <c r="E98" s="10"/>
      <c r="F98" s="10"/>
      <c r="G98" s="10"/>
      <c r="H98" s="10"/>
      <c r="I98" s="10"/>
    </row>
    <row r="99" ht="24.0" customHeight="1">
      <c r="A99" s="10"/>
      <c r="B99" s="10"/>
      <c r="C99" s="10"/>
      <c r="D99" s="10"/>
      <c r="E99" s="10"/>
      <c r="F99" s="10"/>
      <c r="G99" s="10"/>
      <c r="H99" s="10"/>
      <c r="I99" s="10"/>
    </row>
    <row r="100" ht="24.0" customHeight="1">
      <c r="A100" s="10"/>
      <c r="B100" s="10"/>
      <c r="C100" s="10"/>
      <c r="D100" s="10"/>
      <c r="E100" s="10"/>
      <c r="F100" s="10"/>
      <c r="G100" s="10"/>
      <c r="H100" s="10"/>
      <c r="I100" s="10"/>
    </row>
    <row r="101" ht="24.0" customHeight="1">
      <c r="A101" s="10"/>
      <c r="B101" s="10"/>
      <c r="C101" s="10"/>
      <c r="D101" s="10"/>
      <c r="E101" s="10"/>
      <c r="F101" s="10"/>
      <c r="G101" s="10"/>
      <c r="H101" s="10"/>
      <c r="I101" s="10"/>
    </row>
    <row r="102" ht="24.0" customHeight="1">
      <c r="A102" s="10"/>
      <c r="B102" s="10"/>
      <c r="C102" s="10"/>
      <c r="D102" s="10"/>
      <c r="E102" s="10"/>
      <c r="F102" s="10"/>
      <c r="G102" s="10"/>
      <c r="H102" s="10"/>
      <c r="I102" s="10"/>
    </row>
    <row r="103" ht="24.0" customHeight="1">
      <c r="A103" s="10"/>
      <c r="B103" s="10"/>
      <c r="C103" s="10"/>
      <c r="D103" s="10"/>
      <c r="E103" s="10"/>
      <c r="F103" s="10"/>
      <c r="G103" s="10"/>
      <c r="H103" s="10"/>
      <c r="I103" s="10"/>
    </row>
    <row r="104" ht="24.0" customHeight="1">
      <c r="A104" s="10"/>
      <c r="B104" s="10"/>
      <c r="C104" s="10"/>
      <c r="D104" s="10"/>
      <c r="E104" s="10"/>
      <c r="F104" s="10"/>
      <c r="G104" s="10"/>
      <c r="H104" s="10"/>
      <c r="I104" s="10"/>
    </row>
    <row r="105" ht="24.0" customHeight="1">
      <c r="A105" s="10"/>
      <c r="B105" s="10"/>
      <c r="C105" s="10"/>
      <c r="D105" s="10"/>
      <c r="E105" s="10"/>
      <c r="F105" s="10"/>
      <c r="G105" s="10"/>
      <c r="H105" s="10"/>
      <c r="I105" s="10"/>
    </row>
    <row r="106" ht="24.0" customHeight="1">
      <c r="A106" s="10"/>
      <c r="B106" s="10"/>
      <c r="C106" s="10"/>
      <c r="D106" s="10"/>
      <c r="E106" s="10"/>
      <c r="F106" s="10"/>
      <c r="G106" s="10"/>
      <c r="H106" s="10"/>
      <c r="I106" s="10"/>
    </row>
    <row r="107" ht="24.0" customHeight="1">
      <c r="A107" s="10"/>
      <c r="B107" s="10"/>
      <c r="C107" s="10"/>
      <c r="D107" s="10"/>
      <c r="E107" s="10"/>
      <c r="F107" s="10"/>
      <c r="G107" s="10"/>
      <c r="H107" s="10"/>
      <c r="I107" s="10"/>
    </row>
    <row r="108" ht="24.0" customHeight="1">
      <c r="A108" s="10"/>
      <c r="B108" s="10"/>
      <c r="C108" s="10"/>
      <c r="D108" s="10"/>
      <c r="E108" s="10"/>
      <c r="F108" s="10"/>
      <c r="G108" s="10"/>
      <c r="H108" s="10"/>
      <c r="I108" s="10"/>
    </row>
    <row r="109" ht="24.0" customHeight="1">
      <c r="A109" s="10"/>
      <c r="B109" s="10"/>
      <c r="C109" s="10"/>
      <c r="D109" s="10"/>
      <c r="E109" s="10"/>
      <c r="F109" s="10"/>
      <c r="G109" s="10"/>
      <c r="H109" s="10"/>
      <c r="I109" s="10"/>
    </row>
    <row r="110" ht="24.0" customHeight="1">
      <c r="A110" s="10"/>
      <c r="B110" s="10"/>
      <c r="C110" s="10"/>
      <c r="D110" s="10"/>
      <c r="E110" s="10"/>
      <c r="F110" s="10"/>
      <c r="G110" s="10"/>
      <c r="H110" s="10"/>
      <c r="I110" s="10"/>
    </row>
    <row r="111" ht="24.0" customHeight="1">
      <c r="A111" s="10"/>
      <c r="B111" s="10"/>
      <c r="C111" s="10"/>
      <c r="D111" s="10"/>
      <c r="E111" s="10"/>
      <c r="F111" s="10"/>
      <c r="G111" s="10"/>
      <c r="H111" s="10"/>
      <c r="I111" s="10"/>
    </row>
    <row r="112" ht="24.0" customHeight="1">
      <c r="A112" s="10"/>
      <c r="B112" s="10"/>
      <c r="C112" s="10"/>
      <c r="D112" s="10"/>
      <c r="E112" s="10"/>
      <c r="F112" s="10"/>
      <c r="G112" s="10"/>
      <c r="H112" s="10"/>
      <c r="I112" s="10"/>
    </row>
    <row r="113" ht="24.0" customHeight="1">
      <c r="A113" s="10"/>
      <c r="B113" s="10"/>
      <c r="C113" s="10"/>
      <c r="D113" s="10"/>
      <c r="E113" s="10"/>
      <c r="F113" s="10"/>
      <c r="G113" s="10"/>
      <c r="H113" s="10"/>
      <c r="I113" s="10"/>
    </row>
    <row r="114" ht="24.0" customHeight="1">
      <c r="A114" s="10"/>
      <c r="B114" s="10"/>
      <c r="C114" s="10"/>
      <c r="D114" s="10"/>
      <c r="E114" s="10"/>
      <c r="F114" s="10"/>
      <c r="G114" s="10"/>
      <c r="H114" s="10"/>
      <c r="I114" s="10"/>
    </row>
    <row r="115" ht="24.0" customHeight="1">
      <c r="A115" s="10"/>
      <c r="B115" s="10"/>
      <c r="C115" s="10"/>
      <c r="D115" s="10"/>
      <c r="E115" s="10"/>
      <c r="F115" s="10"/>
      <c r="G115" s="10"/>
      <c r="H115" s="10"/>
      <c r="I115" s="10"/>
    </row>
    <row r="116" ht="24.0" customHeight="1">
      <c r="A116" s="10"/>
      <c r="B116" s="10"/>
      <c r="C116" s="10"/>
      <c r="D116" s="10"/>
      <c r="E116" s="10"/>
      <c r="F116" s="10"/>
      <c r="G116" s="10"/>
      <c r="H116" s="10"/>
      <c r="I116" s="10"/>
    </row>
    <row r="117" ht="24.0" customHeight="1">
      <c r="A117" s="10"/>
      <c r="B117" s="10"/>
      <c r="C117" s="10"/>
      <c r="D117" s="10"/>
      <c r="E117" s="10"/>
      <c r="F117" s="10"/>
      <c r="G117" s="10"/>
      <c r="H117" s="10"/>
      <c r="I117" s="10"/>
    </row>
    <row r="118" ht="24.0" customHeight="1">
      <c r="A118" s="10"/>
      <c r="B118" s="10"/>
      <c r="C118" s="10"/>
      <c r="D118" s="10"/>
      <c r="E118" s="10"/>
      <c r="F118" s="10"/>
      <c r="G118" s="10"/>
      <c r="H118" s="10"/>
      <c r="I118" s="10"/>
    </row>
    <row r="119" ht="24.0" customHeight="1">
      <c r="A119" s="10"/>
      <c r="B119" s="10"/>
      <c r="C119" s="10"/>
      <c r="D119" s="10"/>
      <c r="E119" s="10"/>
      <c r="F119" s="10"/>
      <c r="G119" s="10"/>
      <c r="H119" s="10"/>
      <c r="I119" s="10"/>
    </row>
    <row r="120" ht="24.0" customHeight="1">
      <c r="A120" s="10"/>
      <c r="B120" s="10"/>
      <c r="C120" s="10"/>
      <c r="D120" s="10"/>
      <c r="E120" s="10"/>
      <c r="F120" s="10"/>
      <c r="G120" s="10"/>
      <c r="H120" s="10"/>
      <c r="I120" s="10"/>
    </row>
    <row r="121" ht="24.0" customHeight="1">
      <c r="A121" s="10"/>
      <c r="B121" s="10"/>
      <c r="C121" s="10"/>
      <c r="D121" s="10"/>
      <c r="E121" s="10"/>
      <c r="F121" s="10"/>
      <c r="G121" s="10"/>
      <c r="H121" s="10"/>
      <c r="I121" s="10"/>
    </row>
    <row r="122" ht="24.0" customHeight="1">
      <c r="A122" s="10"/>
      <c r="B122" s="10"/>
      <c r="C122" s="10"/>
      <c r="D122" s="10"/>
      <c r="E122" s="10"/>
      <c r="F122" s="10"/>
      <c r="G122" s="10"/>
      <c r="H122" s="10"/>
      <c r="I122" s="10"/>
    </row>
    <row r="123" ht="24.0" customHeight="1">
      <c r="A123" s="10"/>
      <c r="B123" s="10"/>
      <c r="C123" s="10"/>
      <c r="D123" s="10"/>
      <c r="E123" s="10"/>
      <c r="F123" s="10"/>
      <c r="G123" s="10"/>
      <c r="H123" s="10"/>
      <c r="I123" s="10"/>
    </row>
    <row r="124" ht="24.0" customHeight="1">
      <c r="A124" s="10"/>
      <c r="B124" s="10"/>
      <c r="C124" s="10"/>
      <c r="D124" s="10"/>
      <c r="E124" s="10"/>
      <c r="F124" s="10"/>
      <c r="G124" s="10"/>
      <c r="H124" s="10"/>
      <c r="I124" s="10"/>
    </row>
    <row r="125" ht="24.0" customHeight="1">
      <c r="A125" s="10"/>
      <c r="B125" s="10"/>
      <c r="C125" s="10"/>
      <c r="D125" s="10"/>
      <c r="E125" s="10"/>
      <c r="F125" s="10"/>
      <c r="G125" s="10"/>
      <c r="H125" s="10"/>
      <c r="I125" s="10"/>
    </row>
    <row r="126" ht="24.0" customHeight="1">
      <c r="A126" s="10"/>
      <c r="B126" s="10"/>
      <c r="C126" s="10"/>
      <c r="D126" s="10"/>
      <c r="E126" s="10"/>
      <c r="F126" s="10"/>
      <c r="G126" s="10"/>
      <c r="H126" s="10"/>
      <c r="I126" s="10"/>
    </row>
    <row r="127" ht="24.0" customHeight="1">
      <c r="A127" s="10"/>
      <c r="B127" s="10"/>
      <c r="C127" s="10"/>
      <c r="D127" s="10"/>
      <c r="E127" s="10"/>
      <c r="F127" s="10"/>
      <c r="G127" s="10"/>
      <c r="H127" s="10"/>
      <c r="I127" s="10"/>
    </row>
    <row r="128" ht="24.0" customHeight="1">
      <c r="A128" s="10"/>
      <c r="B128" s="10"/>
      <c r="C128" s="10"/>
      <c r="D128" s="10"/>
      <c r="E128" s="10"/>
      <c r="F128" s="10"/>
      <c r="G128" s="10"/>
      <c r="H128" s="10"/>
      <c r="I128" s="10"/>
    </row>
    <row r="129" ht="24.0" customHeight="1">
      <c r="A129" s="10"/>
      <c r="B129" s="10"/>
      <c r="C129" s="10"/>
      <c r="D129" s="10"/>
      <c r="E129" s="10"/>
      <c r="F129" s="10"/>
      <c r="G129" s="10"/>
      <c r="H129" s="10"/>
      <c r="I129" s="10"/>
    </row>
    <row r="130" ht="24.0" customHeight="1">
      <c r="A130" s="10"/>
      <c r="B130" s="10"/>
      <c r="C130" s="10"/>
      <c r="D130" s="10"/>
      <c r="E130" s="10"/>
      <c r="F130" s="10"/>
      <c r="G130" s="10"/>
      <c r="H130" s="10"/>
      <c r="I130" s="10"/>
    </row>
    <row r="131" ht="24.0" customHeight="1">
      <c r="A131" s="10"/>
      <c r="B131" s="10"/>
      <c r="C131" s="10"/>
      <c r="D131" s="10"/>
      <c r="E131" s="10"/>
      <c r="F131" s="10"/>
      <c r="G131" s="10"/>
      <c r="H131" s="10"/>
      <c r="I131" s="10"/>
    </row>
    <row r="132" ht="24.0" customHeight="1">
      <c r="A132" s="10"/>
      <c r="B132" s="10"/>
      <c r="C132" s="10"/>
      <c r="D132" s="10"/>
      <c r="E132" s="10"/>
      <c r="F132" s="10"/>
      <c r="G132" s="10"/>
      <c r="H132" s="10"/>
      <c r="I132" s="10"/>
    </row>
    <row r="133" ht="24.0" customHeight="1">
      <c r="A133" s="10"/>
      <c r="B133" s="10"/>
      <c r="C133" s="10"/>
      <c r="D133" s="10"/>
      <c r="E133" s="10"/>
      <c r="F133" s="10"/>
      <c r="G133" s="10"/>
      <c r="H133" s="10"/>
      <c r="I133" s="10"/>
    </row>
    <row r="134" ht="24.0" customHeight="1">
      <c r="A134" s="10"/>
      <c r="B134" s="10"/>
      <c r="C134" s="10"/>
      <c r="D134" s="10"/>
      <c r="E134" s="10"/>
      <c r="F134" s="10"/>
      <c r="G134" s="10"/>
      <c r="H134" s="10"/>
      <c r="I134" s="10"/>
    </row>
    <row r="135" ht="24.0" customHeight="1">
      <c r="A135" s="10"/>
      <c r="B135" s="10"/>
      <c r="C135" s="10"/>
      <c r="D135" s="10"/>
      <c r="E135" s="10"/>
      <c r="F135" s="10"/>
      <c r="G135" s="10"/>
      <c r="H135" s="10"/>
      <c r="I135" s="10"/>
    </row>
    <row r="136" ht="24.0" customHeight="1">
      <c r="A136" s="10"/>
      <c r="B136" s="10"/>
      <c r="C136" s="10"/>
      <c r="D136" s="10"/>
      <c r="E136" s="10"/>
      <c r="F136" s="10"/>
      <c r="G136" s="10"/>
      <c r="H136" s="10"/>
      <c r="I136" s="10"/>
    </row>
    <row r="137" ht="24.0" customHeight="1">
      <c r="A137" s="10"/>
      <c r="B137" s="10"/>
      <c r="C137" s="10"/>
      <c r="D137" s="10"/>
      <c r="E137" s="10"/>
      <c r="F137" s="10"/>
      <c r="G137" s="10"/>
      <c r="H137" s="10"/>
      <c r="I137" s="10"/>
    </row>
    <row r="138" ht="24.0" customHeight="1">
      <c r="A138" s="10"/>
      <c r="B138" s="10"/>
      <c r="C138" s="10"/>
      <c r="D138" s="10"/>
      <c r="E138" s="10"/>
      <c r="F138" s="10"/>
      <c r="G138" s="10"/>
      <c r="H138" s="10"/>
      <c r="I138" s="10"/>
    </row>
    <row r="139" ht="24.0" customHeight="1">
      <c r="A139" s="10"/>
      <c r="B139" s="10"/>
      <c r="C139" s="10"/>
      <c r="D139" s="10"/>
      <c r="E139" s="10"/>
      <c r="F139" s="10"/>
      <c r="G139" s="10"/>
      <c r="H139" s="10"/>
      <c r="I139" s="10"/>
    </row>
    <row r="140" ht="24.0" customHeight="1">
      <c r="A140" s="10"/>
      <c r="B140" s="10"/>
      <c r="C140" s="10"/>
      <c r="D140" s="10"/>
      <c r="E140" s="10"/>
      <c r="F140" s="10"/>
      <c r="G140" s="10"/>
      <c r="H140" s="10"/>
      <c r="I140" s="10"/>
    </row>
    <row r="141" ht="24.0" customHeight="1">
      <c r="A141" s="10"/>
      <c r="B141" s="10"/>
      <c r="C141" s="10"/>
      <c r="D141" s="10"/>
      <c r="E141" s="10"/>
      <c r="F141" s="10"/>
      <c r="G141" s="10"/>
      <c r="H141" s="10"/>
      <c r="I141" s="10"/>
    </row>
    <row r="142" ht="24.0" customHeight="1">
      <c r="A142" s="10"/>
      <c r="B142" s="10"/>
      <c r="C142" s="10"/>
      <c r="D142" s="10"/>
      <c r="E142" s="10"/>
      <c r="F142" s="10"/>
      <c r="G142" s="10"/>
      <c r="H142" s="10"/>
      <c r="I142" s="10"/>
    </row>
    <row r="143" ht="24.0" customHeight="1">
      <c r="A143" s="10"/>
      <c r="B143" s="10"/>
      <c r="C143" s="10"/>
      <c r="D143" s="10"/>
      <c r="E143" s="10"/>
      <c r="F143" s="10"/>
      <c r="G143" s="10"/>
      <c r="H143" s="10"/>
      <c r="I143" s="10"/>
    </row>
    <row r="144" ht="24.0" customHeight="1">
      <c r="A144" s="10"/>
      <c r="B144" s="10"/>
      <c r="C144" s="10"/>
      <c r="D144" s="10"/>
      <c r="E144" s="10"/>
      <c r="F144" s="10"/>
      <c r="G144" s="10"/>
      <c r="H144" s="10"/>
      <c r="I144" s="10"/>
    </row>
    <row r="145" ht="24.0" customHeight="1">
      <c r="A145" s="10"/>
      <c r="B145" s="10"/>
      <c r="C145" s="10"/>
      <c r="D145" s="10"/>
      <c r="E145" s="10"/>
      <c r="F145" s="10"/>
      <c r="G145" s="10"/>
      <c r="H145" s="10"/>
      <c r="I145" s="10"/>
    </row>
    <row r="146" ht="24.0" customHeight="1">
      <c r="A146" s="10"/>
      <c r="B146" s="10"/>
      <c r="C146" s="10"/>
      <c r="D146" s="10"/>
      <c r="E146" s="10"/>
      <c r="F146" s="10"/>
      <c r="G146" s="10"/>
      <c r="H146" s="10"/>
      <c r="I146" s="10"/>
    </row>
    <row r="147" ht="24.0" customHeight="1">
      <c r="A147" s="10"/>
      <c r="B147" s="10"/>
      <c r="C147" s="10"/>
      <c r="D147" s="10"/>
      <c r="E147" s="10"/>
      <c r="F147" s="10"/>
      <c r="G147" s="10"/>
      <c r="H147" s="10"/>
      <c r="I147" s="10"/>
    </row>
    <row r="148" ht="24.0" customHeight="1">
      <c r="A148" s="10"/>
      <c r="B148" s="10"/>
      <c r="C148" s="10"/>
      <c r="D148" s="10"/>
      <c r="E148" s="10"/>
      <c r="F148" s="10"/>
      <c r="G148" s="10"/>
      <c r="H148" s="10"/>
      <c r="I148" s="10"/>
    </row>
    <row r="149" ht="24.0" customHeight="1">
      <c r="A149" s="10"/>
      <c r="B149" s="10"/>
      <c r="C149" s="10"/>
      <c r="D149" s="10"/>
      <c r="E149" s="10"/>
      <c r="F149" s="10"/>
      <c r="G149" s="10"/>
      <c r="H149" s="10"/>
      <c r="I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</row>
  </sheetData>
  <mergeCells count="2">
    <mergeCell ref="A1:I1"/>
    <mergeCell ref="A2:I2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/>
  <cols>
    <col customWidth="1" min="1" max="1" width="12.0"/>
    <col customWidth="1" min="2" max="2" width="18.0"/>
    <col customWidth="1" min="3" max="14" width="12.0"/>
    <col customWidth="1" min="15" max="26" width="8.71"/>
  </cols>
  <sheetData>
    <row r="1" ht="34.5" customHeight="1">
      <c r="A1" s="11" t="s">
        <v>36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3"/>
    </row>
    <row r="2" ht="24.75" customHeight="1">
      <c r="A2" s="3" t="s">
        <v>37</v>
      </c>
    </row>
    <row r="3" ht="24.0" customHeight="1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</row>
    <row r="4" ht="24.0" customHeight="1">
      <c r="A4" s="14" t="s">
        <v>38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3"/>
    </row>
    <row r="5" ht="24.0" customHeight="1">
      <c r="A5" s="15" t="s">
        <v>39</v>
      </c>
      <c r="B5" s="15" t="s">
        <v>40</v>
      </c>
      <c r="C5" s="16" t="s">
        <v>41</v>
      </c>
      <c r="D5" s="16" t="s">
        <v>42</v>
      </c>
      <c r="E5" s="16" t="s">
        <v>43</v>
      </c>
      <c r="F5" s="16" t="s">
        <v>44</v>
      </c>
      <c r="G5" s="16" t="s">
        <v>45</v>
      </c>
      <c r="H5" s="16" t="s">
        <v>46</v>
      </c>
      <c r="I5" s="16" t="s">
        <v>47</v>
      </c>
      <c r="J5" s="16" t="s">
        <v>48</v>
      </c>
      <c r="K5" s="16" t="s">
        <v>49</v>
      </c>
      <c r="L5" s="16" t="s">
        <v>50</v>
      </c>
      <c r="M5" s="16" t="s">
        <v>51</v>
      </c>
      <c r="N5" s="16" t="s">
        <v>52</v>
      </c>
    </row>
    <row r="6" ht="24.0" customHeight="1">
      <c r="A6" s="17" t="s">
        <v>11</v>
      </c>
      <c r="B6" s="17" t="s">
        <v>53</v>
      </c>
      <c r="C6" s="7">
        <v>15.0</v>
      </c>
      <c r="D6" s="7">
        <v>18.0</v>
      </c>
      <c r="E6" s="7">
        <v>20.0</v>
      </c>
      <c r="F6" s="7">
        <v>22.0</v>
      </c>
      <c r="G6" s="7">
        <v>25.0</v>
      </c>
      <c r="H6" s="7">
        <v>28.0</v>
      </c>
      <c r="I6" s="7">
        <v>30.0</v>
      </c>
      <c r="J6" s="7">
        <v>32.0</v>
      </c>
      <c r="K6" s="7">
        <v>35.0</v>
      </c>
      <c r="L6" s="7">
        <v>38.0</v>
      </c>
      <c r="M6" s="7">
        <v>40.0</v>
      </c>
      <c r="N6" s="7">
        <v>45.0</v>
      </c>
    </row>
    <row r="7" ht="24.0" customHeight="1">
      <c r="A7" s="18" t="s">
        <v>13</v>
      </c>
      <c r="B7" s="18" t="s">
        <v>53</v>
      </c>
      <c r="C7" s="19">
        <v>12.0</v>
      </c>
      <c r="D7" s="19">
        <v>14.0</v>
      </c>
      <c r="E7" s="19">
        <v>16.0</v>
      </c>
      <c r="F7" s="19">
        <v>18.0</v>
      </c>
      <c r="G7" s="19">
        <v>20.0</v>
      </c>
      <c r="H7" s="19">
        <v>22.0</v>
      </c>
      <c r="I7" s="19">
        <v>24.0</v>
      </c>
      <c r="J7" s="19">
        <v>26.0</v>
      </c>
      <c r="K7" s="19">
        <v>28.0</v>
      </c>
      <c r="L7" s="19">
        <v>30.0</v>
      </c>
      <c r="M7" s="19">
        <v>32.0</v>
      </c>
      <c r="N7" s="19">
        <v>35.0</v>
      </c>
    </row>
    <row r="8" ht="24.0" customHeight="1">
      <c r="A8" s="17" t="s">
        <v>15</v>
      </c>
      <c r="B8" s="17" t="s">
        <v>53</v>
      </c>
      <c r="C8" s="7">
        <v>10.0</v>
      </c>
      <c r="D8" s="7">
        <v>12.0</v>
      </c>
      <c r="E8" s="7">
        <v>14.0</v>
      </c>
      <c r="F8" s="7">
        <v>15.0</v>
      </c>
      <c r="G8" s="7">
        <v>17.0</v>
      </c>
      <c r="H8" s="7">
        <v>19.0</v>
      </c>
      <c r="I8" s="7">
        <v>21.0</v>
      </c>
      <c r="J8" s="7">
        <v>23.0</v>
      </c>
      <c r="K8" s="7">
        <v>25.0</v>
      </c>
      <c r="L8" s="7">
        <v>27.0</v>
      </c>
      <c r="M8" s="7">
        <v>29.0</v>
      </c>
      <c r="N8" s="7">
        <v>32.0</v>
      </c>
    </row>
    <row r="9" ht="24.0" customHeight="1">
      <c r="A9" s="18" t="s">
        <v>17</v>
      </c>
      <c r="B9" s="18" t="s">
        <v>53</v>
      </c>
      <c r="C9" s="19">
        <v>8.0</v>
      </c>
      <c r="D9" s="19">
        <v>10.0</v>
      </c>
      <c r="E9" s="19">
        <v>11.0</v>
      </c>
      <c r="F9" s="19">
        <v>13.0</v>
      </c>
      <c r="G9" s="19">
        <v>15.0</v>
      </c>
      <c r="H9" s="19">
        <v>17.0</v>
      </c>
      <c r="I9" s="19">
        <v>19.0</v>
      </c>
      <c r="J9" s="19">
        <v>21.0</v>
      </c>
      <c r="K9" s="19">
        <v>23.0</v>
      </c>
      <c r="L9" s="19">
        <v>25.0</v>
      </c>
      <c r="M9" s="19">
        <v>27.0</v>
      </c>
      <c r="N9" s="19">
        <v>30.0</v>
      </c>
    </row>
    <row r="10" ht="24.0" customHeight="1">
      <c r="A10" s="17" t="s">
        <v>19</v>
      </c>
      <c r="B10" s="17" t="s">
        <v>53</v>
      </c>
      <c r="C10" s="7">
        <v>7.0</v>
      </c>
      <c r="D10" s="7">
        <v>9.0</v>
      </c>
      <c r="E10" s="7">
        <v>10.0</v>
      </c>
      <c r="F10" s="7">
        <v>12.0</v>
      </c>
      <c r="G10" s="7">
        <v>14.0</v>
      </c>
      <c r="H10" s="7">
        <v>16.0</v>
      </c>
      <c r="I10" s="7">
        <v>18.0</v>
      </c>
      <c r="J10" s="7">
        <v>20.0</v>
      </c>
      <c r="K10" s="7">
        <v>22.0</v>
      </c>
      <c r="L10" s="7">
        <v>24.0</v>
      </c>
      <c r="M10" s="7">
        <v>26.0</v>
      </c>
      <c r="N10" s="7">
        <v>28.0</v>
      </c>
    </row>
    <row r="11" ht="24.0" customHeight="1">
      <c r="A11" s="18" t="s">
        <v>21</v>
      </c>
      <c r="B11" s="18" t="s">
        <v>53</v>
      </c>
      <c r="C11" s="19">
        <v>6.0</v>
      </c>
      <c r="D11" s="19">
        <v>8.0</v>
      </c>
      <c r="E11" s="19">
        <v>9.0</v>
      </c>
      <c r="F11" s="19">
        <v>11.0</v>
      </c>
      <c r="G11" s="19">
        <v>13.0</v>
      </c>
      <c r="H11" s="19">
        <v>15.0</v>
      </c>
      <c r="I11" s="19">
        <v>17.0</v>
      </c>
      <c r="J11" s="19">
        <v>19.0</v>
      </c>
      <c r="K11" s="19">
        <v>21.0</v>
      </c>
      <c r="L11" s="19">
        <v>23.0</v>
      </c>
      <c r="M11" s="19">
        <v>25.0</v>
      </c>
      <c r="N11" s="19">
        <v>27.0</v>
      </c>
    </row>
    <row r="12" ht="24.0" customHeight="1">
      <c r="A12" s="17" t="s">
        <v>23</v>
      </c>
      <c r="B12" s="17" t="s">
        <v>53</v>
      </c>
      <c r="C12" s="7">
        <v>50.0</v>
      </c>
      <c r="D12" s="7">
        <v>55.0</v>
      </c>
      <c r="E12" s="7">
        <v>60.0</v>
      </c>
      <c r="F12" s="7">
        <v>65.0</v>
      </c>
      <c r="G12" s="7">
        <v>70.0</v>
      </c>
      <c r="H12" s="7">
        <v>75.0</v>
      </c>
      <c r="I12" s="7">
        <v>80.0</v>
      </c>
      <c r="J12" s="7">
        <v>85.0</v>
      </c>
      <c r="K12" s="7">
        <v>90.0</v>
      </c>
      <c r="L12" s="7">
        <v>95.0</v>
      </c>
      <c r="M12" s="7">
        <v>100.0</v>
      </c>
      <c r="N12" s="7">
        <v>110.0</v>
      </c>
    </row>
    <row r="13" ht="24.0" customHeight="1">
      <c r="A13" s="18" t="s">
        <v>25</v>
      </c>
      <c r="B13" s="18" t="s">
        <v>53</v>
      </c>
      <c r="C13" s="19">
        <v>40.0</v>
      </c>
      <c r="D13" s="19">
        <v>45.0</v>
      </c>
      <c r="E13" s="19">
        <v>50.0</v>
      </c>
      <c r="F13" s="19">
        <v>55.0</v>
      </c>
      <c r="G13" s="19">
        <v>60.0</v>
      </c>
      <c r="H13" s="19">
        <v>65.0</v>
      </c>
      <c r="I13" s="19">
        <v>70.0</v>
      </c>
      <c r="J13" s="19">
        <v>75.0</v>
      </c>
      <c r="K13" s="19">
        <v>80.0</v>
      </c>
      <c r="L13" s="19">
        <v>85.0</v>
      </c>
      <c r="M13" s="19">
        <v>90.0</v>
      </c>
      <c r="N13" s="19">
        <v>95.0</v>
      </c>
    </row>
    <row r="14" ht="24.0" customHeight="1">
      <c r="A14" s="17" t="s">
        <v>27</v>
      </c>
      <c r="B14" s="17" t="s">
        <v>53</v>
      </c>
      <c r="C14" s="7">
        <v>30.0</v>
      </c>
      <c r="D14" s="7">
        <v>35.0</v>
      </c>
      <c r="E14" s="7">
        <v>40.0</v>
      </c>
      <c r="F14" s="7">
        <v>45.0</v>
      </c>
      <c r="G14" s="7">
        <v>50.0</v>
      </c>
      <c r="H14" s="7">
        <v>55.0</v>
      </c>
      <c r="I14" s="7">
        <v>60.0</v>
      </c>
      <c r="J14" s="7">
        <v>65.0</v>
      </c>
      <c r="K14" s="7">
        <v>70.0</v>
      </c>
      <c r="L14" s="7">
        <v>75.0</v>
      </c>
      <c r="M14" s="7">
        <v>80.0</v>
      </c>
      <c r="N14" s="7">
        <v>85.0</v>
      </c>
    </row>
    <row r="15" ht="24.0" customHeight="1">
      <c r="A15" s="18" t="s">
        <v>29</v>
      </c>
      <c r="B15" s="18" t="s">
        <v>53</v>
      </c>
      <c r="C15" s="19">
        <v>25.0</v>
      </c>
      <c r="D15" s="19">
        <v>28.0</v>
      </c>
      <c r="E15" s="19">
        <v>30.0</v>
      </c>
      <c r="F15" s="19">
        <v>33.0</v>
      </c>
      <c r="G15" s="19">
        <v>36.0</v>
      </c>
      <c r="H15" s="19">
        <v>40.0</v>
      </c>
      <c r="I15" s="19">
        <v>44.0</v>
      </c>
      <c r="J15" s="19">
        <v>48.0</v>
      </c>
      <c r="K15" s="19">
        <v>52.0</v>
      </c>
      <c r="L15" s="19">
        <v>56.0</v>
      </c>
      <c r="M15" s="19">
        <v>60.0</v>
      </c>
      <c r="N15" s="19">
        <v>65.0</v>
      </c>
    </row>
    <row r="16" ht="24.0" customHeight="1">
      <c r="A16" s="14" t="s">
        <v>54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3"/>
    </row>
    <row r="17" ht="24.0" customHeight="1">
      <c r="A17" s="15" t="s">
        <v>39</v>
      </c>
      <c r="B17" s="15" t="s">
        <v>40</v>
      </c>
      <c r="C17" s="16" t="s">
        <v>41</v>
      </c>
      <c r="D17" s="16" t="s">
        <v>42</v>
      </c>
      <c r="E17" s="16" t="s">
        <v>43</v>
      </c>
      <c r="F17" s="16" t="s">
        <v>44</v>
      </c>
      <c r="G17" s="16" t="s">
        <v>45</v>
      </c>
      <c r="H17" s="16" t="s">
        <v>46</v>
      </c>
      <c r="I17" s="16" t="s">
        <v>47</v>
      </c>
      <c r="J17" s="16" t="s">
        <v>48</v>
      </c>
      <c r="K17" s="16" t="s">
        <v>49</v>
      </c>
      <c r="L17" s="16" t="s">
        <v>50</v>
      </c>
      <c r="M17" s="16" t="s">
        <v>51</v>
      </c>
      <c r="N17" s="16" t="s">
        <v>52</v>
      </c>
    </row>
    <row r="18" ht="24.0" customHeight="1">
      <c r="A18" s="17" t="s">
        <v>11</v>
      </c>
      <c r="B18" s="17" t="s">
        <v>55</v>
      </c>
      <c r="C18" s="7">
        <v>0.0</v>
      </c>
      <c r="D18" s="7">
        <v>0.0</v>
      </c>
      <c r="E18" s="7">
        <v>150.0</v>
      </c>
      <c r="F18" s="7">
        <v>0.0</v>
      </c>
      <c r="G18" s="7">
        <v>0.0</v>
      </c>
      <c r="H18" s="7">
        <v>0.0</v>
      </c>
      <c r="I18" s="7">
        <v>200.0</v>
      </c>
      <c r="J18" s="7">
        <v>0.0</v>
      </c>
      <c r="K18" s="7">
        <v>0.0</v>
      </c>
      <c r="L18" s="7">
        <v>0.0</v>
      </c>
      <c r="M18" s="7">
        <v>250.0</v>
      </c>
      <c r="N18" s="7">
        <v>0.0</v>
      </c>
    </row>
    <row r="19" ht="24.0" customHeight="1">
      <c r="A19" s="18" t="s">
        <v>11</v>
      </c>
      <c r="B19" s="18" t="s">
        <v>56</v>
      </c>
      <c r="C19" s="19">
        <v>0.0</v>
      </c>
      <c r="D19" s="19">
        <v>100.0</v>
      </c>
      <c r="E19" s="19">
        <v>0.0</v>
      </c>
      <c r="F19" s="19">
        <v>0.0</v>
      </c>
      <c r="G19" s="19">
        <v>0.0</v>
      </c>
      <c r="H19" s="19">
        <v>150.0</v>
      </c>
      <c r="I19" s="19">
        <v>0.0</v>
      </c>
      <c r="J19" s="19">
        <v>0.0</v>
      </c>
      <c r="K19" s="19">
        <v>0.0</v>
      </c>
      <c r="L19" s="19">
        <v>200.0</v>
      </c>
      <c r="M19" s="19">
        <v>0.0</v>
      </c>
      <c r="N19" s="19">
        <v>0.0</v>
      </c>
    </row>
    <row r="20" ht="24.0" customHeight="1">
      <c r="A20" s="17" t="s">
        <v>13</v>
      </c>
      <c r="B20" s="17" t="s">
        <v>55</v>
      </c>
      <c r="C20" s="7">
        <v>0.0</v>
      </c>
      <c r="D20" s="7">
        <v>0.0</v>
      </c>
      <c r="E20" s="7">
        <v>100.0</v>
      </c>
      <c r="F20" s="7">
        <v>0.0</v>
      </c>
      <c r="G20" s="7">
        <v>0.0</v>
      </c>
      <c r="H20" s="7">
        <v>0.0</v>
      </c>
      <c r="I20" s="7">
        <v>150.0</v>
      </c>
      <c r="J20" s="7">
        <v>0.0</v>
      </c>
      <c r="K20" s="7">
        <v>0.0</v>
      </c>
      <c r="L20" s="7">
        <v>0.0</v>
      </c>
      <c r="M20" s="7">
        <v>200.0</v>
      </c>
      <c r="N20" s="7">
        <v>0.0</v>
      </c>
    </row>
    <row r="21" ht="24.0" customHeight="1">
      <c r="A21" s="18" t="s">
        <v>13</v>
      </c>
      <c r="B21" s="18" t="s">
        <v>56</v>
      </c>
      <c r="C21" s="19">
        <v>0.0</v>
      </c>
      <c r="D21" s="19">
        <v>75.0</v>
      </c>
      <c r="E21" s="19">
        <v>0.0</v>
      </c>
      <c r="F21" s="19">
        <v>0.0</v>
      </c>
      <c r="G21" s="19">
        <v>0.0</v>
      </c>
      <c r="H21" s="19">
        <v>100.0</v>
      </c>
      <c r="I21" s="19">
        <v>0.0</v>
      </c>
      <c r="J21" s="19">
        <v>0.0</v>
      </c>
      <c r="K21" s="19">
        <v>0.0</v>
      </c>
      <c r="L21" s="19">
        <v>125.0</v>
      </c>
      <c r="M21" s="19">
        <v>0.0</v>
      </c>
      <c r="N21" s="19">
        <v>0.0</v>
      </c>
    </row>
    <row r="22" ht="24.0" customHeight="1">
      <c r="A22" s="17" t="s">
        <v>15</v>
      </c>
      <c r="B22" s="17" t="s">
        <v>55</v>
      </c>
      <c r="C22" s="7">
        <v>0.0</v>
      </c>
      <c r="D22" s="7">
        <v>0.0</v>
      </c>
      <c r="E22" s="7">
        <v>80.0</v>
      </c>
      <c r="F22" s="7">
        <v>0.0</v>
      </c>
      <c r="G22" s="7">
        <v>0.0</v>
      </c>
      <c r="H22" s="7">
        <v>0.0</v>
      </c>
      <c r="I22" s="7">
        <v>120.0</v>
      </c>
      <c r="J22" s="7">
        <v>0.0</v>
      </c>
      <c r="K22" s="7">
        <v>0.0</v>
      </c>
      <c r="L22" s="7">
        <v>0.0</v>
      </c>
      <c r="M22" s="7">
        <v>150.0</v>
      </c>
      <c r="N22" s="7">
        <v>0.0</v>
      </c>
    </row>
    <row r="23" ht="24.0" customHeight="1">
      <c r="A23" s="18" t="s">
        <v>15</v>
      </c>
      <c r="B23" s="18" t="s">
        <v>56</v>
      </c>
      <c r="C23" s="19">
        <v>0.0</v>
      </c>
      <c r="D23" s="19">
        <v>60.0</v>
      </c>
      <c r="E23" s="19">
        <v>0.0</v>
      </c>
      <c r="F23" s="19">
        <v>0.0</v>
      </c>
      <c r="G23" s="19">
        <v>0.0</v>
      </c>
      <c r="H23" s="19">
        <v>80.0</v>
      </c>
      <c r="I23" s="19">
        <v>0.0</v>
      </c>
      <c r="J23" s="19">
        <v>0.0</v>
      </c>
      <c r="K23" s="19">
        <v>0.0</v>
      </c>
      <c r="L23" s="19">
        <v>100.0</v>
      </c>
      <c r="M23" s="19">
        <v>0.0</v>
      </c>
      <c r="N23" s="19">
        <v>0.0</v>
      </c>
    </row>
    <row r="24" ht="24.0" customHeight="1">
      <c r="A24" s="17" t="s">
        <v>17</v>
      </c>
      <c r="B24" s="17" t="s">
        <v>55</v>
      </c>
      <c r="C24" s="7">
        <v>0.0</v>
      </c>
      <c r="D24" s="7">
        <v>0.0</v>
      </c>
      <c r="E24" s="7">
        <v>50.0</v>
      </c>
      <c r="F24" s="7">
        <v>0.0</v>
      </c>
      <c r="G24" s="7">
        <v>0.0</v>
      </c>
      <c r="H24" s="7">
        <v>0.0</v>
      </c>
      <c r="I24" s="7">
        <v>80.0</v>
      </c>
      <c r="J24" s="7">
        <v>0.0</v>
      </c>
      <c r="K24" s="7">
        <v>0.0</v>
      </c>
      <c r="L24" s="7">
        <v>0.0</v>
      </c>
      <c r="M24" s="7">
        <v>100.0</v>
      </c>
      <c r="N24" s="7">
        <v>0.0</v>
      </c>
    </row>
    <row r="25" ht="24.0" customHeight="1">
      <c r="A25" s="18" t="s">
        <v>17</v>
      </c>
      <c r="B25" s="18" t="s">
        <v>56</v>
      </c>
      <c r="C25" s="19">
        <v>0.0</v>
      </c>
      <c r="D25" s="19">
        <v>40.0</v>
      </c>
      <c r="E25" s="19">
        <v>0.0</v>
      </c>
      <c r="F25" s="19">
        <v>0.0</v>
      </c>
      <c r="G25" s="19">
        <v>0.0</v>
      </c>
      <c r="H25" s="19">
        <v>60.0</v>
      </c>
      <c r="I25" s="19">
        <v>0.0</v>
      </c>
      <c r="J25" s="19">
        <v>0.0</v>
      </c>
      <c r="K25" s="19">
        <v>0.0</v>
      </c>
      <c r="L25" s="19">
        <v>75.0</v>
      </c>
      <c r="M25" s="19">
        <v>0.0</v>
      </c>
      <c r="N25" s="19">
        <v>0.0</v>
      </c>
    </row>
    <row r="26" ht="24.0" customHeight="1">
      <c r="A26" s="17" t="s">
        <v>19</v>
      </c>
      <c r="B26" s="17" t="s">
        <v>55</v>
      </c>
      <c r="C26" s="7">
        <v>0.0</v>
      </c>
      <c r="D26" s="7">
        <v>0.0</v>
      </c>
      <c r="E26" s="7">
        <v>40.0</v>
      </c>
      <c r="F26" s="7">
        <v>0.0</v>
      </c>
      <c r="G26" s="7">
        <v>0.0</v>
      </c>
      <c r="H26" s="7">
        <v>0.0</v>
      </c>
      <c r="I26" s="7">
        <v>70.0</v>
      </c>
      <c r="J26" s="7">
        <v>0.0</v>
      </c>
      <c r="K26" s="7">
        <v>0.0</v>
      </c>
      <c r="L26" s="7">
        <v>0.0</v>
      </c>
      <c r="M26" s="7">
        <v>90.0</v>
      </c>
      <c r="N26" s="7">
        <v>0.0</v>
      </c>
    </row>
    <row r="27" ht="24.0" customHeight="1">
      <c r="A27" s="18" t="s">
        <v>19</v>
      </c>
      <c r="B27" s="18" t="s">
        <v>56</v>
      </c>
      <c r="C27" s="19">
        <v>0.0</v>
      </c>
      <c r="D27" s="19">
        <v>35.0</v>
      </c>
      <c r="E27" s="19">
        <v>0.0</v>
      </c>
      <c r="F27" s="19">
        <v>0.0</v>
      </c>
      <c r="G27" s="19">
        <v>0.0</v>
      </c>
      <c r="H27" s="19">
        <v>55.0</v>
      </c>
      <c r="I27" s="19">
        <v>0.0</v>
      </c>
      <c r="J27" s="19">
        <v>0.0</v>
      </c>
      <c r="K27" s="19">
        <v>0.0</v>
      </c>
      <c r="L27" s="19">
        <v>70.0</v>
      </c>
      <c r="M27" s="19">
        <v>0.0</v>
      </c>
      <c r="N27" s="19">
        <v>0.0</v>
      </c>
    </row>
    <row r="28" ht="24.0" customHeight="1">
      <c r="A28" s="17" t="s">
        <v>21</v>
      </c>
      <c r="B28" s="17" t="s">
        <v>55</v>
      </c>
      <c r="C28" s="7">
        <v>0.0</v>
      </c>
      <c r="D28" s="7">
        <v>0.0</v>
      </c>
      <c r="E28" s="7">
        <v>0.0</v>
      </c>
      <c r="F28" s="7">
        <v>0.0</v>
      </c>
      <c r="G28" s="7">
        <v>0.0</v>
      </c>
      <c r="H28" s="7">
        <v>0.0</v>
      </c>
      <c r="I28" s="7">
        <v>0.0</v>
      </c>
      <c r="J28" s="7">
        <v>0.0</v>
      </c>
      <c r="K28" s="7">
        <v>0.0</v>
      </c>
      <c r="L28" s="7">
        <v>0.0</v>
      </c>
      <c r="M28" s="7">
        <v>0.0</v>
      </c>
      <c r="N28" s="7">
        <v>0.0</v>
      </c>
    </row>
    <row r="29" ht="24.0" customHeight="1">
      <c r="A29" s="18" t="s">
        <v>21</v>
      </c>
      <c r="B29" s="18" t="s">
        <v>56</v>
      </c>
      <c r="C29" s="19">
        <v>0.0</v>
      </c>
      <c r="D29" s="19">
        <v>0.0</v>
      </c>
      <c r="E29" s="19">
        <v>0.0</v>
      </c>
      <c r="F29" s="19">
        <v>0.0</v>
      </c>
      <c r="G29" s="19">
        <v>0.0</v>
      </c>
      <c r="H29" s="19">
        <v>0.0</v>
      </c>
      <c r="I29" s="19">
        <v>0.0</v>
      </c>
      <c r="J29" s="19">
        <v>0.0</v>
      </c>
      <c r="K29" s="19">
        <v>0.0</v>
      </c>
      <c r="L29" s="19">
        <v>0.0</v>
      </c>
      <c r="M29" s="19">
        <v>0.0</v>
      </c>
      <c r="N29" s="19">
        <v>0.0</v>
      </c>
    </row>
    <row r="30" ht="24.0" customHeight="1">
      <c r="A30" s="17" t="s">
        <v>23</v>
      </c>
      <c r="B30" s="17" t="s">
        <v>55</v>
      </c>
      <c r="C30" s="7">
        <v>0.0</v>
      </c>
      <c r="D30" s="7">
        <v>0.0</v>
      </c>
      <c r="E30" s="7">
        <v>0.0</v>
      </c>
      <c r="F30" s="7">
        <v>0.0</v>
      </c>
      <c r="G30" s="7">
        <v>0.0</v>
      </c>
      <c r="H30" s="7">
        <v>0.0</v>
      </c>
      <c r="I30" s="7">
        <v>0.0</v>
      </c>
      <c r="J30" s="7">
        <v>0.0</v>
      </c>
      <c r="K30" s="7">
        <v>0.0</v>
      </c>
      <c r="L30" s="7">
        <v>0.0</v>
      </c>
      <c r="M30" s="7">
        <v>0.0</v>
      </c>
      <c r="N30" s="7">
        <v>0.0</v>
      </c>
    </row>
    <row r="31" ht="24.0" customHeight="1">
      <c r="A31" s="18" t="s">
        <v>23</v>
      </c>
      <c r="B31" s="18" t="s">
        <v>56</v>
      </c>
      <c r="C31" s="19">
        <v>0.0</v>
      </c>
      <c r="D31" s="19">
        <v>0.0</v>
      </c>
      <c r="E31" s="19">
        <v>0.0</v>
      </c>
      <c r="F31" s="19">
        <v>0.0</v>
      </c>
      <c r="G31" s="19">
        <v>0.0</v>
      </c>
      <c r="H31" s="19">
        <v>0.0</v>
      </c>
      <c r="I31" s="19">
        <v>0.0</v>
      </c>
      <c r="J31" s="19">
        <v>0.0</v>
      </c>
      <c r="K31" s="19">
        <v>0.0</v>
      </c>
      <c r="L31" s="19">
        <v>0.0</v>
      </c>
      <c r="M31" s="19">
        <v>0.0</v>
      </c>
      <c r="N31" s="19">
        <v>0.0</v>
      </c>
    </row>
    <row r="32" ht="24.0" customHeight="1">
      <c r="A32" s="17" t="s">
        <v>25</v>
      </c>
      <c r="B32" s="17" t="s">
        <v>55</v>
      </c>
      <c r="C32" s="7">
        <v>0.0</v>
      </c>
      <c r="D32" s="7">
        <v>0.0</v>
      </c>
      <c r="E32" s="7">
        <v>0.0</v>
      </c>
      <c r="F32" s="7">
        <v>0.0</v>
      </c>
      <c r="G32" s="7">
        <v>0.0</v>
      </c>
      <c r="H32" s="7">
        <v>0.0</v>
      </c>
      <c r="I32" s="7">
        <v>0.0</v>
      </c>
      <c r="J32" s="7">
        <v>0.0</v>
      </c>
      <c r="K32" s="7">
        <v>0.0</v>
      </c>
      <c r="L32" s="7">
        <v>0.0</v>
      </c>
      <c r="M32" s="7">
        <v>0.0</v>
      </c>
      <c r="N32" s="7">
        <v>0.0</v>
      </c>
    </row>
    <row r="33" ht="24.0" customHeight="1">
      <c r="A33" s="18" t="s">
        <v>25</v>
      </c>
      <c r="B33" s="18" t="s">
        <v>56</v>
      </c>
      <c r="C33" s="19">
        <v>0.0</v>
      </c>
      <c r="D33" s="19">
        <v>0.0</v>
      </c>
      <c r="E33" s="19">
        <v>0.0</v>
      </c>
      <c r="F33" s="19">
        <v>0.0</v>
      </c>
      <c r="G33" s="19">
        <v>0.0</v>
      </c>
      <c r="H33" s="19">
        <v>0.0</v>
      </c>
      <c r="I33" s="19">
        <v>0.0</v>
      </c>
      <c r="J33" s="19">
        <v>0.0</v>
      </c>
      <c r="K33" s="19">
        <v>0.0</v>
      </c>
      <c r="L33" s="19">
        <v>0.0</v>
      </c>
      <c r="M33" s="19">
        <v>0.0</v>
      </c>
      <c r="N33" s="19">
        <v>0.0</v>
      </c>
    </row>
    <row r="34" ht="24.0" customHeight="1">
      <c r="A34" s="17" t="s">
        <v>27</v>
      </c>
      <c r="B34" s="17" t="s">
        <v>55</v>
      </c>
      <c r="C34" s="7">
        <v>0.0</v>
      </c>
      <c r="D34" s="7">
        <v>0.0</v>
      </c>
      <c r="E34" s="7">
        <v>0.0</v>
      </c>
      <c r="F34" s="7">
        <v>0.0</v>
      </c>
      <c r="G34" s="7">
        <v>0.0</v>
      </c>
      <c r="H34" s="7">
        <v>0.0</v>
      </c>
      <c r="I34" s="7">
        <v>0.0</v>
      </c>
      <c r="J34" s="7">
        <v>0.0</v>
      </c>
      <c r="K34" s="7">
        <v>0.0</v>
      </c>
      <c r="L34" s="7">
        <v>0.0</v>
      </c>
      <c r="M34" s="7">
        <v>0.0</v>
      </c>
      <c r="N34" s="7">
        <v>0.0</v>
      </c>
    </row>
    <row r="35" ht="24.0" customHeight="1">
      <c r="A35" s="18" t="s">
        <v>27</v>
      </c>
      <c r="B35" s="18" t="s">
        <v>56</v>
      </c>
      <c r="C35" s="19">
        <v>0.0</v>
      </c>
      <c r="D35" s="19">
        <v>0.0</v>
      </c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</row>
    <row r="36" ht="24.0" customHeight="1">
      <c r="A36" s="17" t="s">
        <v>29</v>
      </c>
      <c r="B36" s="17" t="s">
        <v>55</v>
      </c>
      <c r="C36" s="7">
        <v>0.0</v>
      </c>
      <c r="D36" s="7">
        <v>0.0</v>
      </c>
      <c r="E36" s="7">
        <v>0.0</v>
      </c>
      <c r="F36" s="7">
        <v>0.0</v>
      </c>
      <c r="G36" s="7">
        <v>0.0</v>
      </c>
      <c r="H36" s="7">
        <v>0.0</v>
      </c>
      <c r="I36" s="7">
        <v>0.0</v>
      </c>
      <c r="J36" s="7">
        <v>0.0</v>
      </c>
      <c r="K36" s="7">
        <v>0.0</v>
      </c>
      <c r="L36" s="7">
        <v>0.0</v>
      </c>
      <c r="M36" s="7">
        <v>0.0</v>
      </c>
      <c r="N36" s="7">
        <v>0.0</v>
      </c>
    </row>
    <row r="37" ht="24.0" customHeight="1">
      <c r="A37" s="18" t="s">
        <v>29</v>
      </c>
      <c r="B37" s="18" t="s">
        <v>56</v>
      </c>
      <c r="C37" s="19">
        <v>0.0</v>
      </c>
      <c r="D37" s="19">
        <v>0.0</v>
      </c>
      <c r="E37" s="19">
        <v>0.0</v>
      </c>
      <c r="F37" s="19">
        <v>0.0</v>
      </c>
      <c r="G37" s="19">
        <v>0.0</v>
      </c>
      <c r="H37" s="19">
        <v>0.0</v>
      </c>
      <c r="I37" s="19">
        <v>0.0</v>
      </c>
      <c r="J37" s="19">
        <v>0.0</v>
      </c>
      <c r="K37" s="19">
        <v>0.0</v>
      </c>
      <c r="L37" s="19">
        <v>0.0</v>
      </c>
      <c r="M37" s="19">
        <v>0.0</v>
      </c>
      <c r="N37" s="19">
        <v>0.0</v>
      </c>
    </row>
    <row r="38" ht="24.0" customHeight="1">
      <c r="A38" s="20" t="s">
        <v>57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3"/>
    </row>
    <row r="39" ht="24.0" customHeight="1">
      <c r="A39" s="15" t="s">
        <v>39</v>
      </c>
      <c r="B39" s="10"/>
      <c r="C39" s="21" t="s">
        <v>41</v>
      </c>
      <c r="D39" s="21" t="s">
        <v>42</v>
      </c>
      <c r="E39" s="21" t="s">
        <v>43</v>
      </c>
      <c r="F39" s="21" t="s">
        <v>44</v>
      </c>
      <c r="G39" s="21" t="s">
        <v>45</v>
      </c>
      <c r="H39" s="21" t="s">
        <v>46</v>
      </c>
      <c r="I39" s="21" t="s">
        <v>47</v>
      </c>
      <c r="J39" s="21" t="s">
        <v>48</v>
      </c>
      <c r="K39" s="21" t="s">
        <v>49</v>
      </c>
      <c r="L39" s="21" t="s">
        <v>50</v>
      </c>
      <c r="M39" s="21" t="s">
        <v>51</v>
      </c>
      <c r="N39" s="21" t="s">
        <v>52</v>
      </c>
    </row>
    <row r="40" ht="24.0" customHeight="1">
      <c r="A40" s="15" t="s">
        <v>11</v>
      </c>
      <c r="B40" s="10" t="s">
        <v>58</v>
      </c>
      <c r="C40" s="22">
        <f t="shared" ref="C40:N40" si="1">C6+C18+C19</f>
        <v>15</v>
      </c>
      <c r="D40" s="22">
        <f t="shared" si="1"/>
        <v>118</v>
      </c>
      <c r="E40" s="22">
        <f t="shared" si="1"/>
        <v>170</v>
      </c>
      <c r="F40" s="22">
        <f t="shared" si="1"/>
        <v>22</v>
      </c>
      <c r="G40" s="22">
        <f t="shared" si="1"/>
        <v>25</v>
      </c>
      <c r="H40" s="22">
        <f t="shared" si="1"/>
        <v>178</v>
      </c>
      <c r="I40" s="22">
        <f t="shared" si="1"/>
        <v>230</v>
      </c>
      <c r="J40" s="22">
        <f t="shared" si="1"/>
        <v>32</v>
      </c>
      <c r="K40" s="22">
        <f t="shared" si="1"/>
        <v>35</v>
      </c>
      <c r="L40" s="22">
        <f t="shared" si="1"/>
        <v>238</v>
      </c>
      <c r="M40" s="22">
        <f t="shared" si="1"/>
        <v>290</v>
      </c>
      <c r="N40" s="22">
        <f t="shared" si="1"/>
        <v>45</v>
      </c>
    </row>
    <row r="41" ht="24.0" customHeight="1">
      <c r="A41" s="15" t="s">
        <v>13</v>
      </c>
      <c r="B41" s="10" t="s">
        <v>58</v>
      </c>
      <c r="C41" s="22">
        <f t="shared" ref="C41:N41" si="2">C7+C20+C21</f>
        <v>12</v>
      </c>
      <c r="D41" s="22">
        <f t="shared" si="2"/>
        <v>89</v>
      </c>
      <c r="E41" s="22">
        <f t="shared" si="2"/>
        <v>116</v>
      </c>
      <c r="F41" s="22">
        <f t="shared" si="2"/>
        <v>18</v>
      </c>
      <c r="G41" s="22">
        <f t="shared" si="2"/>
        <v>20</v>
      </c>
      <c r="H41" s="22">
        <f t="shared" si="2"/>
        <v>122</v>
      </c>
      <c r="I41" s="22">
        <f t="shared" si="2"/>
        <v>174</v>
      </c>
      <c r="J41" s="22">
        <f t="shared" si="2"/>
        <v>26</v>
      </c>
      <c r="K41" s="22">
        <f t="shared" si="2"/>
        <v>28</v>
      </c>
      <c r="L41" s="22">
        <f t="shared" si="2"/>
        <v>155</v>
      </c>
      <c r="M41" s="22">
        <f t="shared" si="2"/>
        <v>232</v>
      </c>
      <c r="N41" s="22">
        <f t="shared" si="2"/>
        <v>35</v>
      </c>
    </row>
    <row r="42" ht="24.0" customHeight="1">
      <c r="A42" s="15" t="s">
        <v>15</v>
      </c>
      <c r="B42" s="10" t="s">
        <v>58</v>
      </c>
      <c r="C42" s="22">
        <f t="shared" ref="C42:N42" si="3">C8+C22+C23</f>
        <v>10</v>
      </c>
      <c r="D42" s="22">
        <f t="shared" si="3"/>
        <v>72</v>
      </c>
      <c r="E42" s="22">
        <f t="shared" si="3"/>
        <v>94</v>
      </c>
      <c r="F42" s="22">
        <f t="shared" si="3"/>
        <v>15</v>
      </c>
      <c r="G42" s="22">
        <f t="shared" si="3"/>
        <v>17</v>
      </c>
      <c r="H42" s="22">
        <f t="shared" si="3"/>
        <v>99</v>
      </c>
      <c r="I42" s="22">
        <f t="shared" si="3"/>
        <v>141</v>
      </c>
      <c r="J42" s="22">
        <f t="shared" si="3"/>
        <v>23</v>
      </c>
      <c r="K42" s="22">
        <f t="shared" si="3"/>
        <v>25</v>
      </c>
      <c r="L42" s="22">
        <f t="shared" si="3"/>
        <v>127</v>
      </c>
      <c r="M42" s="22">
        <f t="shared" si="3"/>
        <v>179</v>
      </c>
      <c r="N42" s="22">
        <f t="shared" si="3"/>
        <v>32</v>
      </c>
    </row>
    <row r="43" ht="24.0" customHeight="1">
      <c r="A43" s="15" t="s">
        <v>17</v>
      </c>
      <c r="B43" s="10" t="s">
        <v>58</v>
      </c>
      <c r="C43" s="22">
        <f t="shared" ref="C43:N43" si="4">C9+C24+C25</f>
        <v>8</v>
      </c>
      <c r="D43" s="22">
        <f t="shared" si="4"/>
        <v>50</v>
      </c>
      <c r="E43" s="22">
        <f t="shared" si="4"/>
        <v>61</v>
      </c>
      <c r="F43" s="22">
        <f t="shared" si="4"/>
        <v>13</v>
      </c>
      <c r="G43" s="22">
        <f t="shared" si="4"/>
        <v>15</v>
      </c>
      <c r="H43" s="22">
        <f t="shared" si="4"/>
        <v>77</v>
      </c>
      <c r="I43" s="22">
        <f t="shared" si="4"/>
        <v>99</v>
      </c>
      <c r="J43" s="22">
        <f t="shared" si="4"/>
        <v>21</v>
      </c>
      <c r="K43" s="22">
        <f t="shared" si="4"/>
        <v>23</v>
      </c>
      <c r="L43" s="22">
        <f t="shared" si="4"/>
        <v>100</v>
      </c>
      <c r="M43" s="22">
        <f t="shared" si="4"/>
        <v>127</v>
      </c>
      <c r="N43" s="22">
        <f t="shared" si="4"/>
        <v>30</v>
      </c>
    </row>
    <row r="44" ht="24.0" customHeight="1">
      <c r="A44" s="15" t="s">
        <v>19</v>
      </c>
      <c r="B44" s="10" t="s">
        <v>58</v>
      </c>
      <c r="C44" s="22">
        <f t="shared" ref="C44:N44" si="5">C10+C26+C27</f>
        <v>7</v>
      </c>
      <c r="D44" s="22">
        <f t="shared" si="5"/>
        <v>44</v>
      </c>
      <c r="E44" s="22">
        <f t="shared" si="5"/>
        <v>50</v>
      </c>
      <c r="F44" s="22">
        <f t="shared" si="5"/>
        <v>12</v>
      </c>
      <c r="G44" s="22">
        <f t="shared" si="5"/>
        <v>14</v>
      </c>
      <c r="H44" s="22">
        <f t="shared" si="5"/>
        <v>71</v>
      </c>
      <c r="I44" s="22">
        <f t="shared" si="5"/>
        <v>88</v>
      </c>
      <c r="J44" s="22">
        <f t="shared" si="5"/>
        <v>20</v>
      </c>
      <c r="K44" s="22">
        <f t="shared" si="5"/>
        <v>22</v>
      </c>
      <c r="L44" s="22">
        <f t="shared" si="5"/>
        <v>94</v>
      </c>
      <c r="M44" s="22">
        <f t="shared" si="5"/>
        <v>116</v>
      </c>
      <c r="N44" s="22">
        <f t="shared" si="5"/>
        <v>28</v>
      </c>
    </row>
    <row r="45" ht="24.0" customHeight="1">
      <c r="A45" s="15" t="s">
        <v>21</v>
      </c>
      <c r="B45" s="10" t="s">
        <v>58</v>
      </c>
      <c r="C45" s="22">
        <f t="shared" ref="C45:N45" si="6">C11+C28+C29</f>
        <v>6</v>
      </c>
      <c r="D45" s="22">
        <f t="shared" si="6"/>
        <v>8</v>
      </c>
      <c r="E45" s="22">
        <f t="shared" si="6"/>
        <v>9</v>
      </c>
      <c r="F45" s="22">
        <f t="shared" si="6"/>
        <v>11</v>
      </c>
      <c r="G45" s="22">
        <f t="shared" si="6"/>
        <v>13</v>
      </c>
      <c r="H45" s="22">
        <f t="shared" si="6"/>
        <v>15</v>
      </c>
      <c r="I45" s="22">
        <f t="shared" si="6"/>
        <v>17</v>
      </c>
      <c r="J45" s="22">
        <f t="shared" si="6"/>
        <v>19</v>
      </c>
      <c r="K45" s="22">
        <f t="shared" si="6"/>
        <v>21</v>
      </c>
      <c r="L45" s="22">
        <f t="shared" si="6"/>
        <v>23</v>
      </c>
      <c r="M45" s="22">
        <f t="shared" si="6"/>
        <v>25</v>
      </c>
      <c r="N45" s="22">
        <f t="shared" si="6"/>
        <v>27</v>
      </c>
    </row>
    <row r="46" ht="24.0" customHeight="1">
      <c r="A46" s="15" t="s">
        <v>23</v>
      </c>
      <c r="B46" s="10" t="s">
        <v>58</v>
      </c>
      <c r="C46" s="22">
        <f t="shared" ref="C46:N46" si="7">C12+C30+C31</f>
        <v>50</v>
      </c>
      <c r="D46" s="22">
        <f t="shared" si="7"/>
        <v>55</v>
      </c>
      <c r="E46" s="22">
        <f t="shared" si="7"/>
        <v>60</v>
      </c>
      <c r="F46" s="22">
        <f t="shared" si="7"/>
        <v>65</v>
      </c>
      <c r="G46" s="22">
        <f t="shared" si="7"/>
        <v>70</v>
      </c>
      <c r="H46" s="22">
        <f t="shared" si="7"/>
        <v>75</v>
      </c>
      <c r="I46" s="22">
        <f t="shared" si="7"/>
        <v>80</v>
      </c>
      <c r="J46" s="22">
        <f t="shared" si="7"/>
        <v>85</v>
      </c>
      <c r="K46" s="22">
        <f t="shared" si="7"/>
        <v>90</v>
      </c>
      <c r="L46" s="22">
        <f t="shared" si="7"/>
        <v>95</v>
      </c>
      <c r="M46" s="22">
        <f t="shared" si="7"/>
        <v>100</v>
      </c>
      <c r="N46" s="22">
        <f t="shared" si="7"/>
        <v>110</v>
      </c>
    </row>
    <row r="47" ht="24.0" customHeight="1">
      <c r="A47" s="15" t="s">
        <v>25</v>
      </c>
      <c r="B47" s="10" t="s">
        <v>58</v>
      </c>
      <c r="C47" s="22">
        <f t="shared" ref="C47:N47" si="8">C13+C32+C33</f>
        <v>40</v>
      </c>
      <c r="D47" s="22">
        <f t="shared" si="8"/>
        <v>45</v>
      </c>
      <c r="E47" s="22">
        <f t="shared" si="8"/>
        <v>50</v>
      </c>
      <c r="F47" s="22">
        <f t="shared" si="8"/>
        <v>55</v>
      </c>
      <c r="G47" s="22">
        <f t="shared" si="8"/>
        <v>60</v>
      </c>
      <c r="H47" s="22">
        <f t="shared" si="8"/>
        <v>65</v>
      </c>
      <c r="I47" s="22">
        <f t="shared" si="8"/>
        <v>70</v>
      </c>
      <c r="J47" s="22">
        <f t="shared" si="8"/>
        <v>75</v>
      </c>
      <c r="K47" s="22">
        <f t="shared" si="8"/>
        <v>80</v>
      </c>
      <c r="L47" s="22">
        <f t="shared" si="8"/>
        <v>85</v>
      </c>
      <c r="M47" s="22">
        <f t="shared" si="8"/>
        <v>90</v>
      </c>
      <c r="N47" s="22">
        <f t="shared" si="8"/>
        <v>95</v>
      </c>
    </row>
    <row r="48" ht="24.0" customHeight="1">
      <c r="A48" s="15" t="s">
        <v>27</v>
      </c>
      <c r="B48" s="10" t="s">
        <v>58</v>
      </c>
      <c r="C48" s="22">
        <f t="shared" ref="C48:N48" si="9">C14+C34+C35</f>
        <v>30</v>
      </c>
      <c r="D48" s="22">
        <f t="shared" si="9"/>
        <v>35</v>
      </c>
      <c r="E48" s="22">
        <f t="shared" si="9"/>
        <v>40</v>
      </c>
      <c r="F48" s="22">
        <f t="shared" si="9"/>
        <v>45</v>
      </c>
      <c r="G48" s="22">
        <f t="shared" si="9"/>
        <v>50</v>
      </c>
      <c r="H48" s="22">
        <f t="shared" si="9"/>
        <v>55</v>
      </c>
      <c r="I48" s="22">
        <f t="shared" si="9"/>
        <v>60</v>
      </c>
      <c r="J48" s="22">
        <f t="shared" si="9"/>
        <v>65</v>
      </c>
      <c r="K48" s="22">
        <f t="shared" si="9"/>
        <v>70</v>
      </c>
      <c r="L48" s="22">
        <f t="shared" si="9"/>
        <v>75</v>
      </c>
      <c r="M48" s="22">
        <f t="shared" si="9"/>
        <v>80</v>
      </c>
      <c r="N48" s="22">
        <f t="shared" si="9"/>
        <v>85</v>
      </c>
    </row>
    <row r="49" ht="24.0" customHeight="1">
      <c r="A49" s="15" t="s">
        <v>29</v>
      </c>
      <c r="B49" s="10" t="s">
        <v>58</v>
      </c>
      <c r="C49" s="22">
        <f t="shared" ref="C49:N49" si="10">C15+C36+C37</f>
        <v>25</v>
      </c>
      <c r="D49" s="22">
        <f t="shared" si="10"/>
        <v>28</v>
      </c>
      <c r="E49" s="22">
        <f t="shared" si="10"/>
        <v>30</v>
      </c>
      <c r="F49" s="22">
        <f t="shared" si="10"/>
        <v>33</v>
      </c>
      <c r="G49" s="22">
        <f t="shared" si="10"/>
        <v>36</v>
      </c>
      <c r="H49" s="22">
        <f t="shared" si="10"/>
        <v>40</v>
      </c>
      <c r="I49" s="22">
        <f t="shared" si="10"/>
        <v>44</v>
      </c>
      <c r="J49" s="22">
        <f t="shared" si="10"/>
        <v>48</v>
      </c>
      <c r="K49" s="22">
        <f t="shared" si="10"/>
        <v>52</v>
      </c>
      <c r="L49" s="22">
        <f t="shared" si="10"/>
        <v>56</v>
      </c>
      <c r="M49" s="22">
        <f t="shared" si="10"/>
        <v>60</v>
      </c>
      <c r="N49" s="22">
        <f t="shared" si="10"/>
        <v>65</v>
      </c>
    </row>
    <row r="50" ht="24.0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</row>
    <row r="51" ht="24.0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</row>
    <row r="52" ht="24.0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</row>
    <row r="53" ht="24.0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</row>
    <row r="54" ht="24.0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</row>
    <row r="55" ht="24.0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</row>
    <row r="56" ht="24.0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</row>
    <row r="57" ht="24.0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</row>
    <row r="58" ht="24.0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</row>
    <row r="59" ht="24.0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</row>
    <row r="60" ht="24.0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</row>
    <row r="61" ht="24.0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</row>
    <row r="62" ht="24.0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</row>
    <row r="63" ht="24.0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</row>
    <row r="64" ht="24.0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</row>
    <row r="65" ht="24.0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</row>
    <row r="66" ht="24.0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</row>
    <row r="67" ht="24.0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</row>
    <row r="68" ht="24.0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</row>
    <row r="69" ht="24.0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</row>
    <row r="70" ht="24.0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</row>
    <row r="71" ht="24.0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</row>
    <row r="72" ht="24.0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</row>
    <row r="73" ht="24.0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</row>
    <row r="74" ht="24.0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</row>
    <row r="75" ht="24.0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</row>
    <row r="76" ht="24.0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</row>
    <row r="77" ht="24.0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</row>
    <row r="78" ht="24.0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</row>
    <row r="79" ht="24.0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</row>
    <row r="80" ht="24.0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</row>
    <row r="81" ht="24.0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</row>
    <row r="82" ht="24.0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</row>
    <row r="83" ht="24.0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</row>
    <row r="84" ht="24.0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</row>
    <row r="85" ht="24.0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</row>
    <row r="86" ht="24.0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</row>
    <row r="87" ht="24.0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</row>
    <row r="88" ht="24.0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</row>
    <row r="89" ht="24.0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</row>
    <row r="90" ht="24.0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</row>
    <row r="91" ht="24.0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</row>
    <row r="92" ht="24.0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</row>
    <row r="93" ht="24.0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</row>
    <row r="94" ht="24.0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</row>
    <row r="95" ht="24.0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</row>
    <row r="96" ht="24.0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</row>
    <row r="97" ht="24.0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</row>
    <row r="98" ht="24.0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</row>
    <row r="99" ht="24.0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</row>
    <row r="100" ht="24.0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</row>
    <row r="101" ht="24.0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</row>
    <row r="102" ht="24.0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</row>
    <row r="103" ht="24.0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</row>
    <row r="104" ht="24.0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</row>
    <row r="105" ht="24.0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</row>
    <row r="106" ht="24.0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</row>
    <row r="107" ht="24.0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</row>
    <row r="108" ht="24.0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</row>
    <row r="109" ht="24.0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</row>
    <row r="110" ht="24.0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</row>
    <row r="111" ht="24.0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</row>
    <row r="112" ht="24.0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</row>
    <row r="113" ht="24.0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</row>
    <row r="114" ht="24.0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</row>
    <row r="115" ht="24.0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</row>
    <row r="116" ht="24.0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</row>
    <row r="117" ht="24.0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</row>
    <row r="118" ht="24.0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</row>
    <row r="119" ht="24.0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</row>
    <row r="120" ht="24.0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</row>
    <row r="121" ht="24.0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</row>
    <row r="122" ht="24.0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</row>
    <row r="123" ht="24.0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</row>
    <row r="124" ht="24.0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</row>
    <row r="125" ht="24.0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</row>
    <row r="126" ht="24.0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</row>
    <row r="127" ht="24.0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</row>
    <row r="128" ht="24.0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</row>
    <row r="129" ht="24.0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</row>
    <row r="130" ht="24.0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</row>
    <row r="131" ht="24.0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</row>
    <row r="132" ht="24.0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</row>
    <row r="133" ht="24.0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</row>
    <row r="134" ht="24.0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</row>
    <row r="135" ht="24.0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</row>
    <row r="136" ht="24.0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</row>
    <row r="137" ht="24.0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</row>
    <row r="138" ht="24.0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</row>
    <row r="139" ht="24.0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</row>
    <row r="140" ht="24.0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</row>
    <row r="141" ht="24.0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</row>
    <row r="142" ht="24.0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</row>
    <row r="143" ht="24.0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</row>
    <row r="144" ht="24.0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</row>
    <row r="145" ht="24.0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</row>
    <row r="146" ht="24.0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</row>
    <row r="147" ht="24.0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</row>
    <row r="148" ht="24.0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</row>
    <row r="149" ht="24.0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</row>
  </sheetData>
  <mergeCells count="5">
    <mergeCell ref="A1:N1"/>
    <mergeCell ref="A2:N2"/>
    <mergeCell ref="A4:N4"/>
    <mergeCell ref="A16:N16"/>
    <mergeCell ref="A38:N38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12.0"/>
    <col customWidth="1" min="2" max="2" width="24.0"/>
    <col customWidth="1" min="3" max="12" width="13.86"/>
    <col customWidth="1" min="13" max="15" width="11.0"/>
    <col customWidth="1" min="16" max="26" width="8.71"/>
  </cols>
  <sheetData>
    <row r="1" ht="34.5" customHeight="1">
      <c r="A1" s="11" t="s">
        <v>59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3"/>
    </row>
    <row r="2" ht="24.75" customHeight="1">
      <c r="A2" s="3" t="s">
        <v>60</v>
      </c>
    </row>
    <row r="3" ht="24.0" customHeight="1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</row>
    <row r="4" ht="24.0" customHeight="1">
      <c r="A4" s="15" t="s">
        <v>39</v>
      </c>
      <c r="B4" s="15" t="s">
        <v>61</v>
      </c>
      <c r="C4" s="21" t="s">
        <v>41</v>
      </c>
      <c r="D4" s="21" t="s">
        <v>42</v>
      </c>
      <c r="E4" s="21" t="s">
        <v>43</v>
      </c>
      <c r="F4" s="21" t="s">
        <v>44</v>
      </c>
      <c r="G4" s="21" t="s">
        <v>45</v>
      </c>
      <c r="H4" s="21" t="s">
        <v>46</v>
      </c>
      <c r="I4" s="21" t="s">
        <v>47</v>
      </c>
      <c r="J4" s="21" t="s">
        <v>48</v>
      </c>
      <c r="K4" s="21" t="s">
        <v>49</v>
      </c>
      <c r="L4" s="21" t="s">
        <v>50</v>
      </c>
      <c r="M4" s="21" t="s">
        <v>51</v>
      </c>
      <c r="N4" s="21" t="s">
        <v>52</v>
      </c>
      <c r="O4" s="21" t="s">
        <v>62</v>
      </c>
    </row>
    <row r="5" ht="24.0" customHeight="1">
      <c r="A5" s="23" t="s">
        <v>11</v>
      </c>
      <c r="B5" s="24" t="s">
        <v>63</v>
      </c>
      <c r="C5" s="25">
        <f>Assumptions!H5</f>
        <v>250</v>
      </c>
      <c r="D5" s="26">
        <f t="shared" ref="D5:N5" si="1">C9</f>
        <v>235</v>
      </c>
      <c r="E5" s="26">
        <f t="shared" si="1"/>
        <v>117</v>
      </c>
      <c r="F5" s="26">
        <f t="shared" si="1"/>
        <v>0</v>
      </c>
      <c r="G5" s="26">
        <f t="shared" si="1"/>
        <v>0</v>
      </c>
      <c r="H5" s="26">
        <f t="shared" si="1"/>
        <v>0</v>
      </c>
      <c r="I5" s="26">
        <f t="shared" si="1"/>
        <v>0</v>
      </c>
      <c r="J5" s="26">
        <f t="shared" si="1"/>
        <v>0</v>
      </c>
      <c r="K5" s="26">
        <f t="shared" si="1"/>
        <v>0</v>
      </c>
      <c r="L5" s="26">
        <f t="shared" si="1"/>
        <v>0</v>
      </c>
      <c r="M5" s="26">
        <f t="shared" si="1"/>
        <v>0</v>
      </c>
      <c r="N5" s="26">
        <f t="shared" si="1"/>
        <v>0</v>
      </c>
      <c r="O5" s="27"/>
    </row>
    <row r="6" ht="24.0" customHeight="1">
      <c r="A6" s="28"/>
      <c r="B6" s="29" t="s">
        <v>64</v>
      </c>
      <c r="C6" s="30">
        <f>'Demand Forecast'!C40</f>
        <v>15</v>
      </c>
      <c r="D6" s="30">
        <f>'Demand Forecast'!D40</f>
        <v>118</v>
      </c>
      <c r="E6" s="30">
        <f>'Demand Forecast'!E40</f>
        <v>170</v>
      </c>
      <c r="F6" s="30">
        <f>'Demand Forecast'!F40</f>
        <v>22</v>
      </c>
      <c r="G6" s="30">
        <f>'Demand Forecast'!G40</f>
        <v>25</v>
      </c>
      <c r="H6" s="30">
        <f>'Demand Forecast'!H40</f>
        <v>178</v>
      </c>
      <c r="I6" s="30">
        <f>'Demand Forecast'!I40</f>
        <v>230</v>
      </c>
      <c r="J6" s="30">
        <f>'Demand Forecast'!J40</f>
        <v>32</v>
      </c>
      <c r="K6" s="30">
        <f>'Demand Forecast'!K40</f>
        <v>35</v>
      </c>
      <c r="L6" s="30">
        <f>'Demand Forecast'!L40</f>
        <v>238</v>
      </c>
      <c r="M6" s="30">
        <f>'Demand Forecast'!M40</f>
        <v>290</v>
      </c>
      <c r="N6" s="30">
        <f>'Demand Forecast'!N40</f>
        <v>45</v>
      </c>
      <c r="O6" s="28"/>
    </row>
    <row r="7" ht="24.0" customHeight="1">
      <c r="A7" s="27"/>
      <c r="B7" s="24" t="s">
        <v>65</v>
      </c>
      <c r="C7" s="26">
        <f t="shared" ref="C7:N7" si="2">C5-C6</f>
        <v>235</v>
      </c>
      <c r="D7" s="26">
        <f t="shared" si="2"/>
        <v>117</v>
      </c>
      <c r="E7" s="26">
        <f t="shared" si="2"/>
        <v>-53</v>
      </c>
      <c r="F7" s="26">
        <f t="shared" si="2"/>
        <v>-22</v>
      </c>
      <c r="G7" s="26">
        <f t="shared" si="2"/>
        <v>-25</v>
      </c>
      <c r="H7" s="26">
        <f t="shared" si="2"/>
        <v>-178</v>
      </c>
      <c r="I7" s="26">
        <f t="shared" si="2"/>
        <v>-230</v>
      </c>
      <c r="J7" s="26">
        <f t="shared" si="2"/>
        <v>-32</v>
      </c>
      <c r="K7" s="26">
        <f t="shared" si="2"/>
        <v>-35</v>
      </c>
      <c r="L7" s="26">
        <f t="shared" si="2"/>
        <v>-238</v>
      </c>
      <c r="M7" s="26">
        <f t="shared" si="2"/>
        <v>-290</v>
      </c>
      <c r="N7" s="26">
        <f t="shared" si="2"/>
        <v>-45</v>
      </c>
      <c r="O7" s="27"/>
    </row>
    <row r="8" ht="24.0" customHeight="1">
      <c r="A8" s="28"/>
      <c r="B8" s="29" t="s">
        <v>66</v>
      </c>
      <c r="C8" s="31">
        <v>0.0</v>
      </c>
      <c r="D8" s="31">
        <v>0.0</v>
      </c>
      <c r="E8" s="31">
        <v>0.0</v>
      </c>
      <c r="F8" s="31">
        <v>0.0</v>
      </c>
      <c r="G8" s="31">
        <v>0.0</v>
      </c>
      <c r="H8" s="31">
        <v>0.0</v>
      </c>
      <c r="I8" s="31">
        <v>0.0</v>
      </c>
      <c r="J8" s="31">
        <v>0.0</v>
      </c>
      <c r="K8" s="31">
        <v>0.0</v>
      </c>
      <c r="L8" s="31">
        <v>0.0</v>
      </c>
      <c r="M8" s="31">
        <v>0.0</v>
      </c>
      <c r="N8" s="31">
        <v>0.0</v>
      </c>
      <c r="O8" s="28"/>
    </row>
    <row r="9" ht="24.0" customHeight="1">
      <c r="A9" s="27"/>
      <c r="B9" s="24" t="s">
        <v>67</v>
      </c>
      <c r="C9" s="26">
        <f t="shared" ref="C9:N9" si="3">MAX(0,C7+C8)</f>
        <v>235</v>
      </c>
      <c r="D9" s="26">
        <f t="shared" si="3"/>
        <v>117</v>
      </c>
      <c r="E9" s="26">
        <f t="shared" si="3"/>
        <v>0</v>
      </c>
      <c r="F9" s="26">
        <f t="shared" si="3"/>
        <v>0</v>
      </c>
      <c r="G9" s="26">
        <f t="shared" si="3"/>
        <v>0</v>
      </c>
      <c r="H9" s="26">
        <f t="shared" si="3"/>
        <v>0</v>
      </c>
      <c r="I9" s="26">
        <f t="shared" si="3"/>
        <v>0</v>
      </c>
      <c r="J9" s="26">
        <f t="shared" si="3"/>
        <v>0</v>
      </c>
      <c r="K9" s="26">
        <f t="shared" si="3"/>
        <v>0</v>
      </c>
      <c r="L9" s="26">
        <f t="shared" si="3"/>
        <v>0</v>
      </c>
      <c r="M9" s="26">
        <f t="shared" si="3"/>
        <v>0</v>
      </c>
      <c r="N9" s="26">
        <f t="shared" si="3"/>
        <v>0</v>
      </c>
      <c r="O9" s="32" t="str">
        <f>IF(N9&lt;Assumptions!G5,"🚨 REORDER NOW",IF(N9&lt;1.5*Assumptions!G5,"⚠️ ORDER SOON","✅ OK"))</f>
        <v>🚨 REORDER NOW</v>
      </c>
    </row>
    <row r="10" ht="24.0" customHeight="1">
      <c r="A10" s="28"/>
      <c r="B10" s="29" t="s">
        <v>68</v>
      </c>
      <c r="C10" s="33">
        <f t="shared" ref="C10:M10" si="4">IFERROR(C9/D6,"-")</f>
        <v>1.991525424</v>
      </c>
      <c r="D10" s="33">
        <f t="shared" si="4"/>
        <v>0.6882352941</v>
      </c>
      <c r="E10" s="33">
        <f t="shared" si="4"/>
        <v>0</v>
      </c>
      <c r="F10" s="33">
        <f t="shared" si="4"/>
        <v>0</v>
      </c>
      <c r="G10" s="33">
        <f t="shared" si="4"/>
        <v>0</v>
      </c>
      <c r="H10" s="33">
        <f t="shared" si="4"/>
        <v>0</v>
      </c>
      <c r="I10" s="33">
        <f t="shared" si="4"/>
        <v>0</v>
      </c>
      <c r="J10" s="33">
        <f t="shared" si="4"/>
        <v>0</v>
      </c>
      <c r="K10" s="33">
        <f t="shared" si="4"/>
        <v>0</v>
      </c>
      <c r="L10" s="33">
        <f t="shared" si="4"/>
        <v>0</v>
      </c>
      <c r="M10" s="33">
        <f t="shared" si="4"/>
        <v>0</v>
      </c>
      <c r="N10" s="29" t="s">
        <v>69</v>
      </c>
      <c r="O10" s="28"/>
    </row>
    <row r="11" ht="24.0" customHeight="1">
      <c r="A11" s="27"/>
      <c r="B11" s="34" t="s">
        <v>70</v>
      </c>
      <c r="C11" s="34" t="str">
        <f t="array" ref="C11">IF(COLUMN()+Assumptions!F5&gt;14,"",IF(INDIRECT(ADDRESS(ROW()-2,COLUMN()+Assumptions!F5))&lt;Assumptions!G5,"ORDER NOW!",""))</f>
        <v>ORDER NOW!</v>
      </c>
      <c r="D11" s="34" t="str">
        <f t="array" ref="D11">IF(COLUMN()+Assumptions!F5&gt;14,"",IF(INDIRECT(ADDRESS(ROW()-2,COLUMN()+Assumptions!F5))&lt;Assumptions!G5,"ORDER NOW!",""))</f>
        <v>ORDER NOW!</v>
      </c>
      <c r="E11" s="34" t="str">
        <f t="array" ref="E11">IF(COLUMN()+Assumptions!F5&gt;14,"",IF(INDIRECT(ADDRESS(ROW()-2,COLUMN()+Assumptions!F5))&lt;Assumptions!G5,"ORDER NOW!",""))</f>
        <v>ORDER NOW!</v>
      </c>
      <c r="F11" s="34" t="str">
        <f t="array" ref="F11">IF(COLUMN()+Assumptions!F5&gt;14,"",IF(INDIRECT(ADDRESS(ROW()-2,COLUMN()+Assumptions!F5))&lt;Assumptions!G5,"ORDER NOW!",""))</f>
        <v>ORDER NOW!</v>
      </c>
      <c r="G11" s="34" t="str">
        <f t="array" ref="G11">IF(COLUMN()+Assumptions!F5&gt;14,"",IF(INDIRECT(ADDRESS(ROW()-2,COLUMN()+Assumptions!F5))&lt;Assumptions!G5,"ORDER NOW!",""))</f>
        <v>ORDER NOW!</v>
      </c>
      <c r="H11" s="34" t="str">
        <f t="array" ref="H11">IF(COLUMN()+Assumptions!F5&gt;14,"",IF(INDIRECT(ADDRESS(ROW()-2,COLUMN()+Assumptions!F5))&lt;Assumptions!G5,"ORDER NOW!",""))</f>
        <v>ORDER NOW!</v>
      </c>
      <c r="I11" s="34" t="str">
        <f t="array" ref="I11">IF(COLUMN()+Assumptions!F5&gt;14,"",IF(INDIRECT(ADDRESS(ROW()-2,COLUMN()+Assumptions!F5))&lt;Assumptions!G5,"ORDER NOW!",""))</f>
        <v>ORDER NOW!</v>
      </c>
      <c r="J11" s="34" t="str">
        <f t="array" ref="J11">IF(COLUMN()+Assumptions!F5&gt;14,"",IF(INDIRECT(ADDRESS(ROW()-2,COLUMN()+Assumptions!F5))&lt;Assumptions!G5,"ORDER NOW!",""))</f>
        <v>ORDER NOW!</v>
      </c>
      <c r="K11" s="34" t="str">
        <f t="array" ref="K11">IF(COLUMN()+Assumptions!F5&gt;14,"",IF(INDIRECT(ADDRESS(ROW()-2,COLUMN()+Assumptions!F5))&lt;Assumptions!G5,"ORDER NOW!",""))</f>
        <v>ORDER NOW!</v>
      </c>
      <c r="L11" s="34" t="str">
        <f t="array" ref="L11">IF(COLUMN()+Assumptions!F5&gt;14,"",IF(INDIRECT(ADDRESS(ROW()-2,COLUMN()+Assumptions!F5))&lt;Assumptions!G5,"ORDER NOW!",""))</f>
        <v/>
      </c>
      <c r="M11" s="34" t="str">
        <f t="array" ref="M11">IF(COLUMN()+Assumptions!F5&gt;14,"",IF(INDIRECT(ADDRESS(ROW()-2,COLUMN()+Assumptions!F5))&lt;Assumptions!G5,"ORDER NOW!",""))</f>
        <v/>
      </c>
      <c r="N11" s="34" t="str">
        <f t="array" ref="N11">IF(COLUMN()+Assumptions!F5&gt;14,"",IF(INDIRECT(ADDRESS(ROW()-2,COLUMN()+Assumptions!F5))&lt;Assumptions!G5,"ORDER NOW!",""))</f>
        <v/>
      </c>
      <c r="O11" s="27"/>
    </row>
    <row r="12" ht="24.0" customHeight="1">
      <c r="A12" s="28"/>
      <c r="B12" s="29" t="s">
        <v>71</v>
      </c>
      <c r="C12" s="35">
        <f t="array" ref="C12">IF(C11="ORDER NOW!",MAX(Assumptions!I5,Assumptions!G5-INDIRECT(ADDRESS(ROW()-3,COLUMN()+Assumptions!F5))+INDIRECT(ADDRESS(ROW()-6,COLUMN()+Assumptions!F5))),"")</f>
        <v>122</v>
      </c>
      <c r="D12" s="35">
        <f t="array" ref="D12">IF(D11="ORDER NOW!",MAX(Assumptions!I5,Assumptions!G5-INDIRECT(ADDRESS(ROW()-3,COLUMN()+Assumptions!F5))+INDIRECT(ADDRESS(ROW()-6,COLUMN()+Assumptions!F5))),"")</f>
        <v>125</v>
      </c>
      <c r="E12" s="35">
        <f t="array" ref="E12">IF(E11="ORDER NOW!",MAX(Assumptions!I5,Assumptions!G5-INDIRECT(ADDRESS(ROW()-3,COLUMN()+Assumptions!F5))+INDIRECT(ADDRESS(ROW()-6,COLUMN()+Assumptions!F5))),"")</f>
        <v>278</v>
      </c>
      <c r="F12" s="35">
        <f t="array" ref="F12">IF(F11="ORDER NOW!",MAX(Assumptions!I5,Assumptions!G5-INDIRECT(ADDRESS(ROW()-3,COLUMN()+Assumptions!F5))+INDIRECT(ADDRESS(ROW()-6,COLUMN()+Assumptions!F5))),"")</f>
        <v>330</v>
      </c>
      <c r="G12" s="35">
        <f t="array" ref="G12">IF(G11="ORDER NOW!",MAX(Assumptions!I5,Assumptions!G5-INDIRECT(ADDRESS(ROW()-3,COLUMN()+Assumptions!F5))+INDIRECT(ADDRESS(ROW()-6,COLUMN()+Assumptions!F5))),"")</f>
        <v>132</v>
      </c>
      <c r="H12" s="35">
        <f t="array" ref="H12">IF(H11="ORDER NOW!",MAX(Assumptions!I5,Assumptions!G5-INDIRECT(ADDRESS(ROW()-3,COLUMN()+Assumptions!F5))+INDIRECT(ADDRESS(ROW()-6,COLUMN()+Assumptions!F5))),"")</f>
        <v>135</v>
      </c>
      <c r="I12" s="35">
        <f t="array" ref="I12">IF(I11="ORDER NOW!",MAX(Assumptions!I5,Assumptions!G5-INDIRECT(ADDRESS(ROW()-3,COLUMN()+Assumptions!F5))+INDIRECT(ADDRESS(ROW()-6,COLUMN()+Assumptions!F5))),"")</f>
        <v>338</v>
      </c>
      <c r="J12" s="35">
        <f t="array" ref="J12">IF(J11="ORDER NOW!",MAX(Assumptions!I5,Assumptions!G5-INDIRECT(ADDRESS(ROW()-3,COLUMN()+Assumptions!F5))+INDIRECT(ADDRESS(ROW()-6,COLUMN()+Assumptions!F5))),"")</f>
        <v>390</v>
      </c>
      <c r="K12" s="35">
        <f t="array" ref="K12">IF(K11="ORDER NOW!",MAX(Assumptions!I5,Assumptions!G5-INDIRECT(ADDRESS(ROW()-3,COLUMN()+Assumptions!F5))+INDIRECT(ADDRESS(ROW()-6,COLUMN()+Assumptions!F5))),"")</f>
        <v>145</v>
      </c>
      <c r="L12" s="35" t="str">
        <f t="array" ref="L12">IF(L11="ORDER NOW!",MAX(Assumptions!I5,Assumptions!G5-INDIRECT(ADDRESS(ROW()-3,COLUMN()+Assumptions!F5))+INDIRECT(ADDRESS(ROW()-6,COLUMN()+Assumptions!F5))),"")</f>
        <v/>
      </c>
      <c r="M12" s="35" t="str">
        <f t="array" ref="M12">IF(M11="ORDER NOW!",MAX(Assumptions!I5,Assumptions!G5-INDIRECT(ADDRESS(ROW()-3,COLUMN()+Assumptions!F5))+INDIRECT(ADDRESS(ROW()-6,COLUMN()+Assumptions!F5))),"")</f>
        <v/>
      </c>
      <c r="N12" s="35" t="str">
        <f t="array" ref="N12">IF(N11="ORDER NOW!",MAX(Assumptions!I5,Assumptions!G5-INDIRECT(ADDRESS(ROW()-3,COLUMN()+Assumptions!F5))+INDIRECT(ADDRESS(ROW()-6,COLUMN()+Assumptions!F5))),"")</f>
        <v/>
      </c>
      <c r="O12" s="28"/>
    </row>
    <row r="13" ht="24.0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24.0" customHeight="1">
      <c r="A14" s="23" t="s">
        <v>13</v>
      </c>
      <c r="B14" s="24" t="s">
        <v>63</v>
      </c>
      <c r="C14" s="25">
        <f>Assumptions!H6</f>
        <v>180</v>
      </c>
      <c r="D14" s="26">
        <f t="shared" ref="D14:N14" si="5">C18</f>
        <v>168</v>
      </c>
      <c r="E14" s="26">
        <f t="shared" si="5"/>
        <v>79</v>
      </c>
      <c r="F14" s="26">
        <f t="shared" si="5"/>
        <v>0</v>
      </c>
      <c r="G14" s="26">
        <f t="shared" si="5"/>
        <v>0</v>
      </c>
      <c r="H14" s="26">
        <f t="shared" si="5"/>
        <v>0</v>
      </c>
      <c r="I14" s="26">
        <f t="shared" si="5"/>
        <v>0</v>
      </c>
      <c r="J14" s="26">
        <f t="shared" si="5"/>
        <v>0</v>
      </c>
      <c r="K14" s="26">
        <f t="shared" si="5"/>
        <v>0</v>
      </c>
      <c r="L14" s="26">
        <f t="shared" si="5"/>
        <v>0</v>
      </c>
      <c r="M14" s="26">
        <f t="shared" si="5"/>
        <v>0</v>
      </c>
      <c r="N14" s="26">
        <f t="shared" si="5"/>
        <v>0</v>
      </c>
      <c r="O14" s="27"/>
    </row>
    <row r="15" ht="24.0" customHeight="1">
      <c r="A15" s="28"/>
      <c r="B15" s="29" t="s">
        <v>64</v>
      </c>
      <c r="C15" s="30">
        <f>'Demand Forecast'!C41</f>
        <v>12</v>
      </c>
      <c r="D15" s="30">
        <f>'Demand Forecast'!D41</f>
        <v>89</v>
      </c>
      <c r="E15" s="30">
        <f>'Demand Forecast'!E41</f>
        <v>116</v>
      </c>
      <c r="F15" s="30">
        <f>'Demand Forecast'!F41</f>
        <v>18</v>
      </c>
      <c r="G15" s="30">
        <f>'Demand Forecast'!G41</f>
        <v>20</v>
      </c>
      <c r="H15" s="30">
        <f>'Demand Forecast'!H41</f>
        <v>122</v>
      </c>
      <c r="I15" s="30">
        <f>'Demand Forecast'!I41</f>
        <v>174</v>
      </c>
      <c r="J15" s="30">
        <f>'Demand Forecast'!J41</f>
        <v>26</v>
      </c>
      <c r="K15" s="30">
        <f>'Demand Forecast'!K41</f>
        <v>28</v>
      </c>
      <c r="L15" s="30">
        <f>'Demand Forecast'!L41</f>
        <v>155</v>
      </c>
      <c r="M15" s="30">
        <f>'Demand Forecast'!M41</f>
        <v>232</v>
      </c>
      <c r="N15" s="30">
        <f>'Demand Forecast'!N41</f>
        <v>35</v>
      </c>
      <c r="O15" s="28"/>
    </row>
    <row r="16" ht="24.0" customHeight="1">
      <c r="A16" s="27"/>
      <c r="B16" s="24" t="s">
        <v>65</v>
      </c>
      <c r="C16" s="26">
        <f t="shared" ref="C16:N16" si="6">C14-C15</f>
        <v>168</v>
      </c>
      <c r="D16" s="26">
        <f t="shared" si="6"/>
        <v>79</v>
      </c>
      <c r="E16" s="26">
        <f t="shared" si="6"/>
        <v>-37</v>
      </c>
      <c r="F16" s="26">
        <f t="shared" si="6"/>
        <v>-18</v>
      </c>
      <c r="G16" s="26">
        <f t="shared" si="6"/>
        <v>-20</v>
      </c>
      <c r="H16" s="26">
        <f t="shared" si="6"/>
        <v>-122</v>
      </c>
      <c r="I16" s="26">
        <f t="shared" si="6"/>
        <v>-174</v>
      </c>
      <c r="J16" s="26">
        <f t="shared" si="6"/>
        <v>-26</v>
      </c>
      <c r="K16" s="26">
        <f t="shared" si="6"/>
        <v>-28</v>
      </c>
      <c r="L16" s="26">
        <f t="shared" si="6"/>
        <v>-155</v>
      </c>
      <c r="M16" s="26">
        <f t="shared" si="6"/>
        <v>-232</v>
      </c>
      <c r="N16" s="26">
        <f t="shared" si="6"/>
        <v>-35</v>
      </c>
      <c r="O16" s="27"/>
    </row>
    <row r="17" ht="24.0" customHeight="1">
      <c r="A17" s="28"/>
      <c r="B17" s="29" t="s">
        <v>66</v>
      </c>
      <c r="C17" s="31">
        <v>0.0</v>
      </c>
      <c r="D17" s="31">
        <v>0.0</v>
      </c>
      <c r="E17" s="31">
        <v>0.0</v>
      </c>
      <c r="F17" s="31">
        <v>0.0</v>
      </c>
      <c r="G17" s="31">
        <v>0.0</v>
      </c>
      <c r="H17" s="31">
        <v>0.0</v>
      </c>
      <c r="I17" s="31">
        <v>0.0</v>
      </c>
      <c r="J17" s="31">
        <v>0.0</v>
      </c>
      <c r="K17" s="31">
        <v>0.0</v>
      </c>
      <c r="L17" s="31">
        <v>0.0</v>
      </c>
      <c r="M17" s="31">
        <v>0.0</v>
      </c>
      <c r="N17" s="31">
        <v>0.0</v>
      </c>
      <c r="O17" s="28"/>
    </row>
    <row r="18" ht="24.0" customHeight="1">
      <c r="A18" s="27"/>
      <c r="B18" s="24" t="s">
        <v>67</v>
      </c>
      <c r="C18" s="26">
        <f t="shared" ref="C18:N18" si="7">MAX(0,C16+C17)</f>
        <v>168</v>
      </c>
      <c r="D18" s="26">
        <f t="shared" si="7"/>
        <v>79</v>
      </c>
      <c r="E18" s="26">
        <f t="shared" si="7"/>
        <v>0</v>
      </c>
      <c r="F18" s="26">
        <f t="shared" si="7"/>
        <v>0</v>
      </c>
      <c r="G18" s="26">
        <f t="shared" si="7"/>
        <v>0</v>
      </c>
      <c r="H18" s="26">
        <f t="shared" si="7"/>
        <v>0</v>
      </c>
      <c r="I18" s="26">
        <f t="shared" si="7"/>
        <v>0</v>
      </c>
      <c r="J18" s="26">
        <f t="shared" si="7"/>
        <v>0</v>
      </c>
      <c r="K18" s="26">
        <f t="shared" si="7"/>
        <v>0</v>
      </c>
      <c r="L18" s="26">
        <f t="shared" si="7"/>
        <v>0</v>
      </c>
      <c r="M18" s="26">
        <f t="shared" si="7"/>
        <v>0</v>
      </c>
      <c r="N18" s="26">
        <f t="shared" si="7"/>
        <v>0</v>
      </c>
      <c r="O18" s="32" t="str">
        <f>IF(N18&lt;Assumptions!G6,"🚨 REORDER NOW",IF(N18&lt;1.5*Assumptions!G6,"⚠️ ORDER SOON","✅ OK"))</f>
        <v>🚨 REORDER NOW</v>
      </c>
    </row>
    <row r="19" ht="24.0" customHeight="1">
      <c r="A19" s="28"/>
      <c r="B19" s="29" t="s">
        <v>68</v>
      </c>
      <c r="C19" s="33">
        <f t="shared" ref="C19:M19" si="8">IFERROR(C18/D15,"-")</f>
        <v>1.887640449</v>
      </c>
      <c r="D19" s="33">
        <f t="shared" si="8"/>
        <v>0.6810344828</v>
      </c>
      <c r="E19" s="33">
        <f t="shared" si="8"/>
        <v>0</v>
      </c>
      <c r="F19" s="33">
        <f t="shared" si="8"/>
        <v>0</v>
      </c>
      <c r="G19" s="33">
        <f t="shared" si="8"/>
        <v>0</v>
      </c>
      <c r="H19" s="33">
        <f t="shared" si="8"/>
        <v>0</v>
      </c>
      <c r="I19" s="33">
        <f t="shared" si="8"/>
        <v>0</v>
      </c>
      <c r="J19" s="33">
        <f t="shared" si="8"/>
        <v>0</v>
      </c>
      <c r="K19" s="33">
        <f t="shared" si="8"/>
        <v>0</v>
      </c>
      <c r="L19" s="33">
        <f t="shared" si="8"/>
        <v>0</v>
      </c>
      <c r="M19" s="33">
        <f t="shared" si="8"/>
        <v>0</v>
      </c>
      <c r="N19" s="29" t="s">
        <v>69</v>
      </c>
      <c r="O19" s="28"/>
    </row>
    <row r="20" ht="24.0" customHeight="1">
      <c r="A20" s="27"/>
      <c r="B20" s="34" t="s">
        <v>70</v>
      </c>
      <c r="C20" s="34" t="str">
        <f t="array" ref="C20">IF(COLUMN()+Assumptions!F6&gt;14,"",IF(INDIRECT(ADDRESS(ROW()-2,COLUMN()+Assumptions!F6))&lt;Assumptions!G6,"ORDER NOW!",""))</f>
        <v>ORDER NOW!</v>
      </c>
      <c r="D20" s="34" t="str">
        <f t="array" ref="D20">IF(COLUMN()+Assumptions!F6&gt;14,"",IF(INDIRECT(ADDRESS(ROW()-2,COLUMN()+Assumptions!F6))&lt;Assumptions!G6,"ORDER NOW!",""))</f>
        <v>ORDER NOW!</v>
      </c>
      <c r="E20" s="34" t="str">
        <f t="array" ref="E20">IF(COLUMN()+Assumptions!F6&gt;14,"",IF(INDIRECT(ADDRESS(ROW()-2,COLUMN()+Assumptions!F6))&lt;Assumptions!G6,"ORDER NOW!",""))</f>
        <v>ORDER NOW!</v>
      </c>
      <c r="F20" s="34" t="str">
        <f t="array" ref="F20">IF(COLUMN()+Assumptions!F6&gt;14,"",IF(INDIRECT(ADDRESS(ROW()-2,COLUMN()+Assumptions!F6))&lt;Assumptions!G6,"ORDER NOW!",""))</f>
        <v>ORDER NOW!</v>
      </c>
      <c r="G20" s="34" t="str">
        <f t="array" ref="G20">IF(COLUMN()+Assumptions!F6&gt;14,"",IF(INDIRECT(ADDRESS(ROW()-2,COLUMN()+Assumptions!F6))&lt;Assumptions!G6,"ORDER NOW!",""))</f>
        <v>ORDER NOW!</v>
      </c>
      <c r="H20" s="34" t="str">
        <f t="array" ref="H20">IF(COLUMN()+Assumptions!F6&gt;14,"",IF(INDIRECT(ADDRESS(ROW()-2,COLUMN()+Assumptions!F6))&lt;Assumptions!G6,"ORDER NOW!",""))</f>
        <v>ORDER NOW!</v>
      </c>
      <c r="I20" s="34" t="str">
        <f t="array" ref="I20">IF(COLUMN()+Assumptions!F6&gt;14,"",IF(INDIRECT(ADDRESS(ROW()-2,COLUMN()+Assumptions!F6))&lt;Assumptions!G6,"ORDER NOW!",""))</f>
        <v>ORDER NOW!</v>
      </c>
      <c r="J20" s="34" t="str">
        <f t="array" ref="J20">IF(COLUMN()+Assumptions!F6&gt;14,"",IF(INDIRECT(ADDRESS(ROW()-2,COLUMN()+Assumptions!F6))&lt;Assumptions!G6,"ORDER NOW!",""))</f>
        <v>ORDER NOW!</v>
      </c>
      <c r="K20" s="34" t="str">
        <f t="array" ref="K20">IF(COLUMN()+Assumptions!F6&gt;14,"",IF(INDIRECT(ADDRESS(ROW()-2,COLUMN()+Assumptions!F6))&lt;Assumptions!G6,"ORDER NOW!",""))</f>
        <v>ORDER NOW!</v>
      </c>
      <c r="L20" s="34" t="str">
        <f t="array" ref="L20">IF(COLUMN()+Assumptions!F6&gt;14,"",IF(INDIRECT(ADDRESS(ROW()-2,COLUMN()+Assumptions!F6))&lt;Assumptions!G6,"ORDER NOW!",""))</f>
        <v/>
      </c>
      <c r="M20" s="34" t="str">
        <f t="array" ref="M20">IF(COLUMN()+Assumptions!F6&gt;14,"",IF(INDIRECT(ADDRESS(ROW()-2,COLUMN()+Assumptions!F6))&lt;Assumptions!G6,"ORDER NOW!",""))</f>
        <v/>
      </c>
      <c r="N20" s="34" t="str">
        <f t="array" ref="N20">IF(COLUMN()+Assumptions!F6&gt;14,"",IF(INDIRECT(ADDRESS(ROW()-2,COLUMN()+Assumptions!F6))&lt;Assumptions!G6,"ORDER NOW!",""))</f>
        <v/>
      </c>
      <c r="O20" s="27"/>
    </row>
    <row r="21" ht="24.0" customHeight="1">
      <c r="A21" s="28"/>
      <c r="B21" s="29" t="s">
        <v>71</v>
      </c>
      <c r="C21" s="35">
        <f t="array" ref="C21">IF(C20="ORDER NOW!",MAX(Assumptions!I6,Assumptions!G6-INDIRECT(ADDRESS(ROW()-3,COLUMN()+Assumptions!F6))+INDIRECT(ADDRESS(ROW()-6,COLUMN()+Assumptions!F6))),"")</f>
        <v>118</v>
      </c>
      <c r="D21" s="35">
        <f t="array" ref="D21">IF(D20="ORDER NOW!",MAX(Assumptions!I6,Assumptions!G6-INDIRECT(ADDRESS(ROW()-3,COLUMN()+Assumptions!F6))+INDIRECT(ADDRESS(ROW()-6,COLUMN()+Assumptions!F6))),"")</f>
        <v>120</v>
      </c>
      <c r="E21" s="35">
        <f t="array" ref="E21">IF(E20="ORDER NOW!",MAX(Assumptions!I6,Assumptions!G6-INDIRECT(ADDRESS(ROW()-3,COLUMN()+Assumptions!F6))+INDIRECT(ADDRESS(ROW()-6,COLUMN()+Assumptions!F6))),"")</f>
        <v>222</v>
      </c>
      <c r="F21" s="35">
        <f t="array" ref="F21">IF(F20="ORDER NOW!",MAX(Assumptions!I6,Assumptions!G6-INDIRECT(ADDRESS(ROW()-3,COLUMN()+Assumptions!F6))+INDIRECT(ADDRESS(ROW()-6,COLUMN()+Assumptions!F6))),"")</f>
        <v>274</v>
      </c>
      <c r="G21" s="35">
        <f t="array" ref="G21">IF(G20="ORDER NOW!",MAX(Assumptions!I6,Assumptions!G6-INDIRECT(ADDRESS(ROW()-3,COLUMN()+Assumptions!F6))+INDIRECT(ADDRESS(ROW()-6,COLUMN()+Assumptions!F6))),"")</f>
        <v>126</v>
      </c>
      <c r="H21" s="35">
        <f t="array" ref="H21">IF(H20="ORDER NOW!",MAX(Assumptions!I6,Assumptions!G6-INDIRECT(ADDRESS(ROW()-3,COLUMN()+Assumptions!F6))+INDIRECT(ADDRESS(ROW()-6,COLUMN()+Assumptions!F6))),"")</f>
        <v>128</v>
      </c>
      <c r="I21" s="35">
        <f t="array" ref="I21">IF(I20="ORDER NOW!",MAX(Assumptions!I6,Assumptions!G6-INDIRECT(ADDRESS(ROW()-3,COLUMN()+Assumptions!F6))+INDIRECT(ADDRESS(ROW()-6,COLUMN()+Assumptions!F6))),"")</f>
        <v>255</v>
      </c>
      <c r="J21" s="35">
        <f t="array" ref="J21">IF(J20="ORDER NOW!",MAX(Assumptions!I6,Assumptions!G6-INDIRECT(ADDRESS(ROW()-3,COLUMN()+Assumptions!F6))+INDIRECT(ADDRESS(ROW()-6,COLUMN()+Assumptions!F6))),"")</f>
        <v>332</v>
      </c>
      <c r="K21" s="35">
        <f t="array" ref="K21">IF(K20="ORDER NOW!",MAX(Assumptions!I6,Assumptions!G6-INDIRECT(ADDRESS(ROW()-3,COLUMN()+Assumptions!F6))+INDIRECT(ADDRESS(ROW()-6,COLUMN()+Assumptions!F6))),"")</f>
        <v>135</v>
      </c>
      <c r="L21" s="35" t="str">
        <f t="array" ref="L21">IF(L20="ORDER NOW!",MAX(Assumptions!I6,Assumptions!G6-INDIRECT(ADDRESS(ROW()-3,COLUMN()+Assumptions!F6))+INDIRECT(ADDRESS(ROW()-6,COLUMN()+Assumptions!F6))),"")</f>
        <v/>
      </c>
      <c r="M21" s="35" t="str">
        <f t="array" ref="M21">IF(M20="ORDER NOW!",MAX(Assumptions!I6,Assumptions!G6-INDIRECT(ADDRESS(ROW()-3,COLUMN()+Assumptions!F6))+INDIRECT(ADDRESS(ROW()-6,COLUMN()+Assumptions!F6))),"")</f>
        <v/>
      </c>
      <c r="N21" s="35" t="str">
        <f t="array" ref="N21">IF(N20="ORDER NOW!",MAX(Assumptions!I6,Assumptions!G6-INDIRECT(ADDRESS(ROW()-3,COLUMN()+Assumptions!F6))+INDIRECT(ADDRESS(ROW()-6,COLUMN()+Assumptions!F6))),"")</f>
        <v/>
      </c>
      <c r="O21" s="28"/>
    </row>
    <row r="22" ht="24.0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24.0" customHeight="1">
      <c r="A23" s="23" t="s">
        <v>15</v>
      </c>
      <c r="B23" s="24" t="s">
        <v>63</v>
      </c>
      <c r="C23" s="25">
        <f>Assumptions!H7</f>
        <v>150</v>
      </c>
      <c r="D23" s="26">
        <f t="shared" ref="D23:N23" si="9">C27</f>
        <v>140</v>
      </c>
      <c r="E23" s="26">
        <f t="shared" si="9"/>
        <v>68</v>
      </c>
      <c r="F23" s="26">
        <f t="shared" si="9"/>
        <v>0</v>
      </c>
      <c r="G23" s="26">
        <f t="shared" si="9"/>
        <v>0</v>
      </c>
      <c r="H23" s="26">
        <f t="shared" si="9"/>
        <v>0</v>
      </c>
      <c r="I23" s="26">
        <f t="shared" si="9"/>
        <v>0</v>
      </c>
      <c r="J23" s="26">
        <f t="shared" si="9"/>
        <v>0</v>
      </c>
      <c r="K23" s="26">
        <f t="shared" si="9"/>
        <v>0</v>
      </c>
      <c r="L23" s="26">
        <f t="shared" si="9"/>
        <v>0</v>
      </c>
      <c r="M23" s="26">
        <f t="shared" si="9"/>
        <v>0</v>
      </c>
      <c r="N23" s="26">
        <f t="shared" si="9"/>
        <v>0</v>
      </c>
      <c r="O23" s="27"/>
    </row>
    <row r="24" ht="24.0" customHeight="1">
      <c r="A24" s="28"/>
      <c r="B24" s="29" t="s">
        <v>64</v>
      </c>
      <c r="C24" s="30">
        <f>'Demand Forecast'!C42</f>
        <v>10</v>
      </c>
      <c r="D24" s="30">
        <f>'Demand Forecast'!D42</f>
        <v>72</v>
      </c>
      <c r="E24" s="30">
        <f>'Demand Forecast'!E42</f>
        <v>94</v>
      </c>
      <c r="F24" s="30">
        <f>'Demand Forecast'!F42</f>
        <v>15</v>
      </c>
      <c r="G24" s="30">
        <f>'Demand Forecast'!G42</f>
        <v>17</v>
      </c>
      <c r="H24" s="30">
        <f>'Demand Forecast'!H42</f>
        <v>99</v>
      </c>
      <c r="I24" s="30">
        <f>'Demand Forecast'!I42</f>
        <v>141</v>
      </c>
      <c r="J24" s="30">
        <f>'Demand Forecast'!J42</f>
        <v>23</v>
      </c>
      <c r="K24" s="30">
        <f>'Demand Forecast'!K42</f>
        <v>25</v>
      </c>
      <c r="L24" s="30">
        <f>'Demand Forecast'!L42</f>
        <v>127</v>
      </c>
      <c r="M24" s="30">
        <f>'Demand Forecast'!M42</f>
        <v>179</v>
      </c>
      <c r="N24" s="30">
        <f>'Demand Forecast'!N42</f>
        <v>32</v>
      </c>
      <c r="O24" s="28"/>
    </row>
    <row r="25" ht="24.0" customHeight="1">
      <c r="A25" s="27"/>
      <c r="B25" s="24" t="s">
        <v>65</v>
      </c>
      <c r="C25" s="26">
        <f t="shared" ref="C25:N25" si="10">C23-C24</f>
        <v>140</v>
      </c>
      <c r="D25" s="26">
        <f t="shared" si="10"/>
        <v>68</v>
      </c>
      <c r="E25" s="26">
        <f t="shared" si="10"/>
        <v>-26</v>
      </c>
      <c r="F25" s="26">
        <f t="shared" si="10"/>
        <v>-15</v>
      </c>
      <c r="G25" s="26">
        <f t="shared" si="10"/>
        <v>-17</v>
      </c>
      <c r="H25" s="26">
        <f t="shared" si="10"/>
        <v>-99</v>
      </c>
      <c r="I25" s="26">
        <f t="shared" si="10"/>
        <v>-141</v>
      </c>
      <c r="J25" s="26">
        <f t="shared" si="10"/>
        <v>-23</v>
      </c>
      <c r="K25" s="26">
        <f t="shared" si="10"/>
        <v>-25</v>
      </c>
      <c r="L25" s="26">
        <f t="shared" si="10"/>
        <v>-127</v>
      </c>
      <c r="M25" s="26">
        <f t="shared" si="10"/>
        <v>-179</v>
      </c>
      <c r="N25" s="26">
        <f t="shared" si="10"/>
        <v>-32</v>
      </c>
      <c r="O25" s="27"/>
    </row>
    <row r="26" ht="24.0" customHeight="1">
      <c r="A26" s="28"/>
      <c r="B26" s="29" t="s">
        <v>66</v>
      </c>
      <c r="C26" s="31">
        <v>0.0</v>
      </c>
      <c r="D26" s="31">
        <v>0.0</v>
      </c>
      <c r="E26" s="31">
        <v>0.0</v>
      </c>
      <c r="F26" s="31">
        <v>0.0</v>
      </c>
      <c r="G26" s="31">
        <v>0.0</v>
      </c>
      <c r="H26" s="31">
        <v>0.0</v>
      </c>
      <c r="I26" s="31">
        <v>0.0</v>
      </c>
      <c r="J26" s="31">
        <v>0.0</v>
      </c>
      <c r="K26" s="31">
        <v>0.0</v>
      </c>
      <c r="L26" s="31">
        <v>0.0</v>
      </c>
      <c r="M26" s="31">
        <v>0.0</v>
      </c>
      <c r="N26" s="31">
        <v>0.0</v>
      </c>
      <c r="O26" s="28"/>
    </row>
    <row r="27" ht="24.0" customHeight="1">
      <c r="A27" s="27"/>
      <c r="B27" s="24" t="s">
        <v>67</v>
      </c>
      <c r="C27" s="26">
        <f t="shared" ref="C27:N27" si="11">MAX(0,C25+C26)</f>
        <v>140</v>
      </c>
      <c r="D27" s="26">
        <f t="shared" si="11"/>
        <v>68</v>
      </c>
      <c r="E27" s="26">
        <f t="shared" si="11"/>
        <v>0</v>
      </c>
      <c r="F27" s="26">
        <f t="shared" si="11"/>
        <v>0</v>
      </c>
      <c r="G27" s="26">
        <f t="shared" si="11"/>
        <v>0</v>
      </c>
      <c r="H27" s="26">
        <f t="shared" si="11"/>
        <v>0</v>
      </c>
      <c r="I27" s="26">
        <f t="shared" si="11"/>
        <v>0</v>
      </c>
      <c r="J27" s="26">
        <f t="shared" si="11"/>
        <v>0</v>
      </c>
      <c r="K27" s="26">
        <f t="shared" si="11"/>
        <v>0</v>
      </c>
      <c r="L27" s="26">
        <f t="shared" si="11"/>
        <v>0</v>
      </c>
      <c r="M27" s="26">
        <f t="shared" si="11"/>
        <v>0</v>
      </c>
      <c r="N27" s="26">
        <f t="shared" si="11"/>
        <v>0</v>
      </c>
      <c r="O27" s="32" t="str">
        <f>IF(N27&lt;Assumptions!G7,"🚨 REORDER NOW",IF(N27&lt;1.5*Assumptions!G7,"⚠️ ORDER SOON","✅ OK"))</f>
        <v>🚨 REORDER NOW</v>
      </c>
    </row>
    <row r="28" ht="24.0" customHeight="1">
      <c r="A28" s="28"/>
      <c r="B28" s="29" t="s">
        <v>68</v>
      </c>
      <c r="C28" s="33">
        <f t="shared" ref="C28:M28" si="12">IFERROR(C27/D24,"-")</f>
        <v>1.944444444</v>
      </c>
      <c r="D28" s="33">
        <f t="shared" si="12"/>
        <v>0.7234042553</v>
      </c>
      <c r="E28" s="33">
        <f t="shared" si="12"/>
        <v>0</v>
      </c>
      <c r="F28" s="33">
        <f t="shared" si="12"/>
        <v>0</v>
      </c>
      <c r="G28" s="33">
        <f t="shared" si="12"/>
        <v>0</v>
      </c>
      <c r="H28" s="33">
        <f t="shared" si="12"/>
        <v>0</v>
      </c>
      <c r="I28" s="33">
        <f t="shared" si="12"/>
        <v>0</v>
      </c>
      <c r="J28" s="33">
        <f t="shared" si="12"/>
        <v>0</v>
      </c>
      <c r="K28" s="33">
        <f t="shared" si="12"/>
        <v>0</v>
      </c>
      <c r="L28" s="33">
        <f t="shared" si="12"/>
        <v>0</v>
      </c>
      <c r="M28" s="33">
        <f t="shared" si="12"/>
        <v>0</v>
      </c>
      <c r="N28" s="29" t="s">
        <v>69</v>
      </c>
      <c r="O28" s="28"/>
    </row>
    <row r="29" ht="24.0" customHeight="1">
      <c r="A29" s="27"/>
      <c r="B29" s="34" t="s">
        <v>70</v>
      </c>
      <c r="C29" s="34" t="str">
        <f t="array" ref="C29">IF(COLUMN()+Assumptions!F7&gt;14,"",IF(INDIRECT(ADDRESS(ROW()-2,COLUMN()+Assumptions!F7))&lt;Assumptions!G7,"ORDER NOW!",""))</f>
        <v>ORDER NOW!</v>
      </c>
      <c r="D29" s="34" t="str">
        <f t="array" ref="D29">IF(COLUMN()+Assumptions!F7&gt;14,"",IF(INDIRECT(ADDRESS(ROW()-2,COLUMN()+Assumptions!F7))&lt;Assumptions!G7,"ORDER NOW!",""))</f>
        <v>ORDER NOW!</v>
      </c>
      <c r="E29" s="34" t="str">
        <f t="array" ref="E29">IF(COLUMN()+Assumptions!F7&gt;14,"",IF(INDIRECT(ADDRESS(ROW()-2,COLUMN()+Assumptions!F7))&lt;Assumptions!G7,"ORDER NOW!",""))</f>
        <v>ORDER NOW!</v>
      </c>
      <c r="F29" s="34" t="str">
        <f t="array" ref="F29">IF(COLUMN()+Assumptions!F7&gt;14,"",IF(INDIRECT(ADDRESS(ROW()-2,COLUMN()+Assumptions!F7))&lt;Assumptions!G7,"ORDER NOW!",""))</f>
        <v>ORDER NOW!</v>
      </c>
      <c r="G29" s="34" t="str">
        <f t="array" ref="G29">IF(COLUMN()+Assumptions!F7&gt;14,"",IF(INDIRECT(ADDRESS(ROW()-2,COLUMN()+Assumptions!F7))&lt;Assumptions!G7,"ORDER NOW!",""))</f>
        <v>ORDER NOW!</v>
      </c>
      <c r="H29" s="34" t="str">
        <f t="array" ref="H29">IF(COLUMN()+Assumptions!F7&gt;14,"",IF(INDIRECT(ADDRESS(ROW()-2,COLUMN()+Assumptions!F7))&lt;Assumptions!G7,"ORDER NOW!",""))</f>
        <v>ORDER NOW!</v>
      </c>
      <c r="I29" s="34" t="str">
        <f t="array" ref="I29">IF(COLUMN()+Assumptions!F7&gt;14,"",IF(INDIRECT(ADDRESS(ROW()-2,COLUMN()+Assumptions!F7))&lt;Assumptions!G7,"ORDER NOW!",""))</f>
        <v>ORDER NOW!</v>
      </c>
      <c r="J29" s="34" t="str">
        <f t="array" ref="J29">IF(COLUMN()+Assumptions!F7&gt;14,"",IF(INDIRECT(ADDRESS(ROW()-2,COLUMN()+Assumptions!F7))&lt;Assumptions!G7,"ORDER NOW!",""))</f>
        <v>ORDER NOW!</v>
      </c>
      <c r="K29" s="34" t="str">
        <f t="array" ref="K29">IF(COLUMN()+Assumptions!F7&gt;14,"",IF(INDIRECT(ADDRESS(ROW()-2,COLUMN()+Assumptions!F7))&lt;Assumptions!G7,"ORDER NOW!",""))</f>
        <v>ORDER NOW!</v>
      </c>
      <c r="L29" s="34" t="str">
        <f t="array" ref="L29">IF(COLUMN()+Assumptions!F7&gt;14,"",IF(INDIRECT(ADDRESS(ROW()-2,COLUMN()+Assumptions!F7))&lt;Assumptions!G7,"ORDER NOW!",""))</f>
        <v/>
      </c>
      <c r="M29" s="34" t="str">
        <f t="array" ref="M29">IF(COLUMN()+Assumptions!F7&gt;14,"",IF(INDIRECT(ADDRESS(ROW()-2,COLUMN()+Assumptions!F7))&lt;Assumptions!G7,"ORDER NOW!",""))</f>
        <v/>
      </c>
      <c r="N29" s="34" t="str">
        <f t="array" ref="N29">IF(COLUMN()+Assumptions!F7&gt;14,"",IF(INDIRECT(ADDRESS(ROW()-2,COLUMN()+Assumptions!F7))&lt;Assumptions!G7,"ORDER NOW!",""))</f>
        <v/>
      </c>
      <c r="O29" s="27"/>
    </row>
    <row r="30" ht="24.0" customHeight="1">
      <c r="A30" s="28"/>
      <c r="B30" s="29" t="s">
        <v>71</v>
      </c>
      <c r="C30" s="35">
        <f t="array" ref="C30">IF(C29="ORDER NOW!",MAX(Assumptions!I7,Assumptions!G7-INDIRECT(ADDRESS(ROW()-3,COLUMN()+Assumptions!F7))+INDIRECT(ADDRESS(ROW()-6,COLUMN()+Assumptions!F7))),"")</f>
        <v>95</v>
      </c>
      <c r="D30" s="35">
        <f t="array" ref="D30">IF(D29="ORDER NOW!",MAX(Assumptions!I7,Assumptions!G7-INDIRECT(ADDRESS(ROW()-3,COLUMN()+Assumptions!F7))+INDIRECT(ADDRESS(ROW()-6,COLUMN()+Assumptions!F7))),"")</f>
        <v>97</v>
      </c>
      <c r="E30" s="35">
        <f t="array" ref="E30">IF(E29="ORDER NOW!",MAX(Assumptions!I7,Assumptions!G7-INDIRECT(ADDRESS(ROW()-3,COLUMN()+Assumptions!F7))+INDIRECT(ADDRESS(ROW()-6,COLUMN()+Assumptions!F7))),"")</f>
        <v>179</v>
      </c>
      <c r="F30" s="35">
        <f t="array" ref="F30">IF(F29="ORDER NOW!",MAX(Assumptions!I7,Assumptions!G7-INDIRECT(ADDRESS(ROW()-3,COLUMN()+Assumptions!F7))+INDIRECT(ADDRESS(ROW()-6,COLUMN()+Assumptions!F7))),"")</f>
        <v>221</v>
      </c>
      <c r="G30" s="35">
        <f t="array" ref="G30">IF(G29="ORDER NOW!",MAX(Assumptions!I7,Assumptions!G7-INDIRECT(ADDRESS(ROW()-3,COLUMN()+Assumptions!F7))+INDIRECT(ADDRESS(ROW()-6,COLUMN()+Assumptions!F7))),"")</f>
        <v>103</v>
      </c>
      <c r="H30" s="35">
        <f t="array" ref="H30">IF(H29="ORDER NOW!",MAX(Assumptions!I7,Assumptions!G7-INDIRECT(ADDRESS(ROW()-3,COLUMN()+Assumptions!F7))+INDIRECT(ADDRESS(ROW()-6,COLUMN()+Assumptions!F7))),"")</f>
        <v>105</v>
      </c>
      <c r="I30" s="35">
        <f t="array" ref="I30">IF(I29="ORDER NOW!",MAX(Assumptions!I7,Assumptions!G7-INDIRECT(ADDRESS(ROW()-3,COLUMN()+Assumptions!F7))+INDIRECT(ADDRESS(ROW()-6,COLUMN()+Assumptions!F7))),"")</f>
        <v>207</v>
      </c>
      <c r="J30" s="35">
        <f t="array" ref="J30">IF(J29="ORDER NOW!",MAX(Assumptions!I7,Assumptions!G7-INDIRECT(ADDRESS(ROW()-3,COLUMN()+Assumptions!F7))+INDIRECT(ADDRESS(ROW()-6,COLUMN()+Assumptions!F7))),"")</f>
        <v>259</v>
      </c>
      <c r="K30" s="35">
        <f t="array" ref="K30">IF(K29="ORDER NOW!",MAX(Assumptions!I7,Assumptions!G7-INDIRECT(ADDRESS(ROW()-3,COLUMN()+Assumptions!F7))+INDIRECT(ADDRESS(ROW()-6,COLUMN()+Assumptions!F7))),"")</f>
        <v>112</v>
      </c>
      <c r="L30" s="35" t="str">
        <f t="array" ref="L30">IF(L29="ORDER NOW!",MAX(Assumptions!I7,Assumptions!G7-INDIRECT(ADDRESS(ROW()-3,COLUMN()+Assumptions!F7))+INDIRECT(ADDRESS(ROW()-6,COLUMN()+Assumptions!F7))),"")</f>
        <v/>
      </c>
      <c r="M30" s="35" t="str">
        <f t="array" ref="M30">IF(M29="ORDER NOW!",MAX(Assumptions!I7,Assumptions!G7-INDIRECT(ADDRESS(ROW()-3,COLUMN()+Assumptions!F7))+INDIRECT(ADDRESS(ROW()-6,COLUMN()+Assumptions!F7))),"")</f>
        <v/>
      </c>
      <c r="N30" s="35" t="str">
        <f t="array" ref="N30">IF(N29="ORDER NOW!",MAX(Assumptions!I7,Assumptions!G7-INDIRECT(ADDRESS(ROW()-3,COLUMN()+Assumptions!F7))+INDIRECT(ADDRESS(ROW()-6,COLUMN()+Assumptions!F7))),"")</f>
        <v/>
      </c>
      <c r="O30" s="28"/>
    </row>
    <row r="31" ht="24.0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</row>
    <row r="32" ht="24.0" customHeight="1">
      <c r="A32" s="23" t="s">
        <v>17</v>
      </c>
      <c r="B32" s="24" t="s">
        <v>63</v>
      </c>
      <c r="C32" s="25">
        <f>Assumptions!H8</f>
        <v>120</v>
      </c>
      <c r="D32" s="26">
        <f t="shared" ref="D32:N32" si="13">C36</f>
        <v>112</v>
      </c>
      <c r="E32" s="26">
        <f t="shared" si="13"/>
        <v>62</v>
      </c>
      <c r="F32" s="26">
        <f t="shared" si="13"/>
        <v>1</v>
      </c>
      <c r="G32" s="26">
        <f t="shared" si="13"/>
        <v>0</v>
      </c>
      <c r="H32" s="26">
        <f t="shared" si="13"/>
        <v>0</v>
      </c>
      <c r="I32" s="26">
        <f t="shared" si="13"/>
        <v>0</v>
      </c>
      <c r="J32" s="26">
        <f t="shared" si="13"/>
        <v>0</v>
      </c>
      <c r="K32" s="26">
        <f t="shared" si="13"/>
        <v>0</v>
      </c>
      <c r="L32" s="26">
        <f t="shared" si="13"/>
        <v>0</v>
      </c>
      <c r="M32" s="26">
        <f t="shared" si="13"/>
        <v>0</v>
      </c>
      <c r="N32" s="26">
        <f t="shared" si="13"/>
        <v>0</v>
      </c>
      <c r="O32" s="27"/>
    </row>
    <row r="33" ht="24.0" customHeight="1">
      <c r="A33" s="28"/>
      <c r="B33" s="29" t="s">
        <v>64</v>
      </c>
      <c r="C33" s="30">
        <f>'Demand Forecast'!C43</f>
        <v>8</v>
      </c>
      <c r="D33" s="30">
        <f>'Demand Forecast'!D43</f>
        <v>50</v>
      </c>
      <c r="E33" s="30">
        <f>'Demand Forecast'!E43</f>
        <v>61</v>
      </c>
      <c r="F33" s="30">
        <f>'Demand Forecast'!F43</f>
        <v>13</v>
      </c>
      <c r="G33" s="30">
        <f>'Demand Forecast'!G43</f>
        <v>15</v>
      </c>
      <c r="H33" s="30">
        <f>'Demand Forecast'!H43</f>
        <v>77</v>
      </c>
      <c r="I33" s="30">
        <f>'Demand Forecast'!I43</f>
        <v>99</v>
      </c>
      <c r="J33" s="30">
        <f>'Demand Forecast'!J43</f>
        <v>21</v>
      </c>
      <c r="K33" s="30">
        <f>'Demand Forecast'!K43</f>
        <v>23</v>
      </c>
      <c r="L33" s="30">
        <f>'Demand Forecast'!L43</f>
        <v>100</v>
      </c>
      <c r="M33" s="30">
        <f>'Demand Forecast'!M43</f>
        <v>127</v>
      </c>
      <c r="N33" s="30">
        <f>'Demand Forecast'!N43</f>
        <v>30</v>
      </c>
      <c r="O33" s="28"/>
    </row>
    <row r="34" ht="24.0" customHeight="1">
      <c r="A34" s="27"/>
      <c r="B34" s="24" t="s">
        <v>65</v>
      </c>
      <c r="C34" s="26">
        <f t="shared" ref="C34:N34" si="14">C32-C33</f>
        <v>112</v>
      </c>
      <c r="D34" s="26">
        <f t="shared" si="14"/>
        <v>62</v>
      </c>
      <c r="E34" s="26">
        <f t="shared" si="14"/>
        <v>1</v>
      </c>
      <c r="F34" s="26">
        <f t="shared" si="14"/>
        <v>-12</v>
      </c>
      <c r="G34" s="26">
        <f t="shared" si="14"/>
        <v>-15</v>
      </c>
      <c r="H34" s="26">
        <f t="shared" si="14"/>
        <v>-77</v>
      </c>
      <c r="I34" s="26">
        <f t="shared" si="14"/>
        <v>-99</v>
      </c>
      <c r="J34" s="26">
        <f t="shared" si="14"/>
        <v>-21</v>
      </c>
      <c r="K34" s="26">
        <f t="shared" si="14"/>
        <v>-23</v>
      </c>
      <c r="L34" s="26">
        <f t="shared" si="14"/>
        <v>-100</v>
      </c>
      <c r="M34" s="26">
        <f t="shared" si="14"/>
        <v>-127</v>
      </c>
      <c r="N34" s="26">
        <f t="shared" si="14"/>
        <v>-30</v>
      </c>
      <c r="O34" s="27"/>
    </row>
    <row r="35" ht="24.0" customHeight="1">
      <c r="A35" s="28"/>
      <c r="B35" s="29" t="s">
        <v>66</v>
      </c>
      <c r="C35" s="31">
        <v>0.0</v>
      </c>
      <c r="D35" s="31">
        <v>0.0</v>
      </c>
      <c r="E35" s="31">
        <v>0.0</v>
      </c>
      <c r="F35" s="31">
        <v>0.0</v>
      </c>
      <c r="G35" s="31">
        <v>0.0</v>
      </c>
      <c r="H35" s="31">
        <v>0.0</v>
      </c>
      <c r="I35" s="31">
        <v>0.0</v>
      </c>
      <c r="J35" s="31">
        <v>0.0</v>
      </c>
      <c r="K35" s="31">
        <v>0.0</v>
      </c>
      <c r="L35" s="31">
        <v>0.0</v>
      </c>
      <c r="M35" s="31">
        <v>0.0</v>
      </c>
      <c r="N35" s="31">
        <v>0.0</v>
      </c>
      <c r="O35" s="28"/>
    </row>
    <row r="36" ht="24.0" customHeight="1">
      <c r="A36" s="27"/>
      <c r="B36" s="24" t="s">
        <v>67</v>
      </c>
      <c r="C36" s="26">
        <f t="shared" ref="C36:N36" si="15">MAX(0,C34+C35)</f>
        <v>112</v>
      </c>
      <c r="D36" s="26">
        <f t="shared" si="15"/>
        <v>62</v>
      </c>
      <c r="E36" s="26">
        <f t="shared" si="15"/>
        <v>1</v>
      </c>
      <c r="F36" s="26">
        <f t="shared" si="15"/>
        <v>0</v>
      </c>
      <c r="G36" s="26">
        <f t="shared" si="15"/>
        <v>0</v>
      </c>
      <c r="H36" s="26">
        <f t="shared" si="15"/>
        <v>0</v>
      </c>
      <c r="I36" s="26">
        <f t="shared" si="15"/>
        <v>0</v>
      </c>
      <c r="J36" s="26">
        <f t="shared" si="15"/>
        <v>0</v>
      </c>
      <c r="K36" s="26">
        <f t="shared" si="15"/>
        <v>0</v>
      </c>
      <c r="L36" s="26">
        <f t="shared" si="15"/>
        <v>0</v>
      </c>
      <c r="M36" s="26">
        <f t="shared" si="15"/>
        <v>0</v>
      </c>
      <c r="N36" s="26">
        <f t="shared" si="15"/>
        <v>0</v>
      </c>
      <c r="O36" s="32" t="str">
        <f>IF(N36&lt;Assumptions!G8,"🚨 REORDER NOW",IF(N36&lt;1.5*Assumptions!G8,"⚠️ ORDER SOON","✅ OK"))</f>
        <v>🚨 REORDER NOW</v>
      </c>
    </row>
    <row r="37" ht="24.0" customHeight="1">
      <c r="A37" s="28"/>
      <c r="B37" s="29" t="s">
        <v>68</v>
      </c>
      <c r="C37" s="33">
        <f t="shared" ref="C37:M37" si="16">IFERROR(C36/D33,"-")</f>
        <v>2.24</v>
      </c>
      <c r="D37" s="33">
        <f t="shared" si="16"/>
        <v>1.016393443</v>
      </c>
      <c r="E37" s="33">
        <f t="shared" si="16"/>
        <v>0.07692307692</v>
      </c>
      <c r="F37" s="33">
        <f t="shared" si="16"/>
        <v>0</v>
      </c>
      <c r="G37" s="33">
        <f t="shared" si="16"/>
        <v>0</v>
      </c>
      <c r="H37" s="33">
        <f t="shared" si="16"/>
        <v>0</v>
      </c>
      <c r="I37" s="33">
        <f t="shared" si="16"/>
        <v>0</v>
      </c>
      <c r="J37" s="33">
        <f t="shared" si="16"/>
        <v>0</v>
      </c>
      <c r="K37" s="33">
        <f t="shared" si="16"/>
        <v>0</v>
      </c>
      <c r="L37" s="33">
        <f t="shared" si="16"/>
        <v>0</v>
      </c>
      <c r="M37" s="33">
        <f t="shared" si="16"/>
        <v>0</v>
      </c>
      <c r="N37" s="29" t="s">
        <v>69</v>
      </c>
      <c r="O37" s="28"/>
    </row>
    <row r="38" ht="24.0" customHeight="1">
      <c r="A38" s="27"/>
      <c r="B38" s="34" t="s">
        <v>70</v>
      </c>
      <c r="C38" s="34" t="str">
        <f t="array" ref="C38">IF(COLUMN()+Assumptions!F8&gt;14,"",IF(INDIRECT(ADDRESS(ROW()-2,COLUMN()+Assumptions!F8))&lt;Assumptions!G8,"ORDER NOW!",""))</f>
        <v>ORDER NOW!</v>
      </c>
      <c r="D38" s="34" t="str">
        <f t="array" ref="D38">IF(COLUMN()+Assumptions!F8&gt;14,"",IF(INDIRECT(ADDRESS(ROW()-2,COLUMN()+Assumptions!F8))&lt;Assumptions!G8,"ORDER NOW!",""))</f>
        <v>ORDER NOW!</v>
      </c>
      <c r="E38" s="34" t="str">
        <f t="array" ref="E38">IF(COLUMN()+Assumptions!F8&gt;14,"",IF(INDIRECT(ADDRESS(ROW()-2,COLUMN()+Assumptions!F8))&lt;Assumptions!G8,"ORDER NOW!",""))</f>
        <v>ORDER NOW!</v>
      </c>
      <c r="F38" s="34" t="str">
        <f t="array" ref="F38">IF(COLUMN()+Assumptions!F8&gt;14,"",IF(INDIRECT(ADDRESS(ROW()-2,COLUMN()+Assumptions!F8))&lt;Assumptions!G8,"ORDER NOW!",""))</f>
        <v>ORDER NOW!</v>
      </c>
      <c r="G38" s="34" t="str">
        <f t="array" ref="G38">IF(COLUMN()+Assumptions!F8&gt;14,"",IF(INDIRECT(ADDRESS(ROW()-2,COLUMN()+Assumptions!F8))&lt;Assumptions!G8,"ORDER NOW!",""))</f>
        <v>ORDER NOW!</v>
      </c>
      <c r="H38" s="34" t="str">
        <f t="array" ref="H38">IF(COLUMN()+Assumptions!F8&gt;14,"",IF(INDIRECT(ADDRESS(ROW()-2,COLUMN()+Assumptions!F8))&lt;Assumptions!G8,"ORDER NOW!",""))</f>
        <v>ORDER NOW!</v>
      </c>
      <c r="I38" s="34" t="str">
        <f t="array" ref="I38">IF(COLUMN()+Assumptions!F8&gt;14,"",IF(INDIRECT(ADDRESS(ROW()-2,COLUMN()+Assumptions!F8))&lt;Assumptions!G8,"ORDER NOW!",""))</f>
        <v>ORDER NOW!</v>
      </c>
      <c r="J38" s="34" t="str">
        <f t="array" ref="J38">IF(COLUMN()+Assumptions!F8&gt;14,"",IF(INDIRECT(ADDRESS(ROW()-2,COLUMN()+Assumptions!F8))&lt;Assumptions!G8,"ORDER NOW!",""))</f>
        <v>ORDER NOW!</v>
      </c>
      <c r="K38" s="34" t="str">
        <f t="array" ref="K38">IF(COLUMN()+Assumptions!F8&gt;14,"",IF(INDIRECT(ADDRESS(ROW()-2,COLUMN()+Assumptions!F8))&lt;Assumptions!G8,"ORDER NOW!",""))</f>
        <v>ORDER NOW!</v>
      </c>
      <c r="L38" s="34" t="str">
        <f t="array" ref="L38">IF(COLUMN()+Assumptions!F8&gt;14,"",IF(INDIRECT(ADDRESS(ROW()-2,COLUMN()+Assumptions!F8))&lt;Assumptions!G8,"ORDER NOW!",""))</f>
        <v/>
      </c>
      <c r="M38" s="34" t="str">
        <f t="array" ref="M38">IF(COLUMN()+Assumptions!F8&gt;14,"",IF(INDIRECT(ADDRESS(ROW()-2,COLUMN()+Assumptions!F8))&lt;Assumptions!G8,"ORDER NOW!",""))</f>
        <v/>
      </c>
      <c r="N38" s="34" t="str">
        <f t="array" ref="N38">IF(COLUMN()+Assumptions!F8&gt;14,"",IF(INDIRECT(ADDRESS(ROW()-2,COLUMN()+Assumptions!F8))&lt;Assumptions!G8,"ORDER NOW!",""))</f>
        <v/>
      </c>
      <c r="O38" s="27"/>
    </row>
    <row r="39" ht="24.0" customHeight="1">
      <c r="A39" s="28"/>
      <c r="B39" s="29" t="s">
        <v>71</v>
      </c>
      <c r="C39" s="35">
        <f t="array" ref="C39">IF(C38="ORDER NOW!",MAX(Assumptions!I8,Assumptions!G8-INDIRECT(ADDRESS(ROW()-3,COLUMN()+Assumptions!F8))+INDIRECT(ADDRESS(ROW()-6,COLUMN()+Assumptions!F8))),"")</f>
        <v>93</v>
      </c>
      <c r="D39" s="35">
        <f t="array" ref="D39">IF(D38="ORDER NOW!",MAX(Assumptions!I8,Assumptions!G8-INDIRECT(ADDRESS(ROW()-3,COLUMN()+Assumptions!F8))+INDIRECT(ADDRESS(ROW()-6,COLUMN()+Assumptions!F8))),"")</f>
        <v>95</v>
      </c>
      <c r="E39" s="35">
        <f t="array" ref="E39">IF(E38="ORDER NOW!",MAX(Assumptions!I8,Assumptions!G8-INDIRECT(ADDRESS(ROW()-3,COLUMN()+Assumptions!F8))+INDIRECT(ADDRESS(ROW()-6,COLUMN()+Assumptions!F8))),"")</f>
        <v>157</v>
      </c>
      <c r="F39" s="35">
        <f t="array" ref="F39">IF(F38="ORDER NOW!",MAX(Assumptions!I8,Assumptions!G8-INDIRECT(ADDRESS(ROW()-3,COLUMN()+Assumptions!F8))+INDIRECT(ADDRESS(ROW()-6,COLUMN()+Assumptions!F8))),"")</f>
        <v>179</v>
      </c>
      <c r="G39" s="35">
        <f t="array" ref="G39">IF(G38="ORDER NOW!",MAX(Assumptions!I8,Assumptions!G8-INDIRECT(ADDRESS(ROW()-3,COLUMN()+Assumptions!F8))+INDIRECT(ADDRESS(ROW()-6,COLUMN()+Assumptions!F8))),"")</f>
        <v>101</v>
      </c>
      <c r="H39" s="35">
        <f t="array" ref="H39">IF(H38="ORDER NOW!",MAX(Assumptions!I8,Assumptions!G8-INDIRECT(ADDRESS(ROW()-3,COLUMN()+Assumptions!F8))+INDIRECT(ADDRESS(ROW()-6,COLUMN()+Assumptions!F8))),"")</f>
        <v>103</v>
      </c>
      <c r="I39" s="35">
        <f t="array" ref="I39">IF(I38="ORDER NOW!",MAX(Assumptions!I8,Assumptions!G8-INDIRECT(ADDRESS(ROW()-3,COLUMN()+Assumptions!F8))+INDIRECT(ADDRESS(ROW()-6,COLUMN()+Assumptions!F8))),"")</f>
        <v>180</v>
      </c>
      <c r="J39" s="35">
        <f t="array" ref="J39">IF(J38="ORDER NOW!",MAX(Assumptions!I8,Assumptions!G8-INDIRECT(ADDRESS(ROW()-3,COLUMN()+Assumptions!F8))+INDIRECT(ADDRESS(ROW()-6,COLUMN()+Assumptions!F8))),"")</f>
        <v>207</v>
      </c>
      <c r="K39" s="35">
        <f t="array" ref="K39">IF(K38="ORDER NOW!",MAX(Assumptions!I8,Assumptions!G8-INDIRECT(ADDRESS(ROW()-3,COLUMN()+Assumptions!F8))+INDIRECT(ADDRESS(ROW()-6,COLUMN()+Assumptions!F8))),"")</f>
        <v>110</v>
      </c>
      <c r="L39" s="35" t="str">
        <f t="array" ref="L39">IF(L38="ORDER NOW!",MAX(Assumptions!I8,Assumptions!G8-INDIRECT(ADDRESS(ROW()-3,COLUMN()+Assumptions!F8))+INDIRECT(ADDRESS(ROW()-6,COLUMN()+Assumptions!F8))),"")</f>
        <v/>
      </c>
      <c r="M39" s="35" t="str">
        <f t="array" ref="M39">IF(M38="ORDER NOW!",MAX(Assumptions!I8,Assumptions!G8-INDIRECT(ADDRESS(ROW()-3,COLUMN()+Assumptions!F8))+INDIRECT(ADDRESS(ROW()-6,COLUMN()+Assumptions!F8))),"")</f>
        <v/>
      </c>
      <c r="N39" s="35" t="str">
        <f t="array" ref="N39">IF(N38="ORDER NOW!",MAX(Assumptions!I8,Assumptions!G8-INDIRECT(ADDRESS(ROW()-3,COLUMN()+Assumptions!F8))+INDIRECT(ADDRESS(ROW()-6,COLUMN()+Assumptions!F8))),"")</f>
        <v/>
      </c>
      <c r="O39" s="28"/>
    </row>
    <row r="40" ht="24.0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</row>
    <row r="41" ht="24.0" customHeight="1">
      <c r="A41" s="23" t="s">
        <v>19</v>
      </c>
      <c r="B41" s="24" t="s">
        <v>63</v>
      </c>
      <c r="C41" s="25">
        <f>Assumptions!H9</f>
        <v>110</v>
      </c>
      <c r="D41" s="26">
        <f t="shared" ref="D41:N41" si="17">C45</f>
        <v>103</v>
      </c>
      <c r="E41" s="26">
        <f t="shared" si="17"/>
        <v>59</v>
      </c>
      <c r="F41" s="26">
        <f t="shared" si="17"/>
        <v>9</v>
      </c>
      <c r="G41" s="26">
        <f t="shared" si="17"/>
        <v>0</v>
      </c>
      <c r="H41" s="26">
        <f t="shared" si="17"/>
        <v>0</v>
      </c>
      <c r="I41" s="26">
        <f t="shared" si="17"/>
        <v>0</v>
      </c>
      <c r="J41" s="26">
        <f t="shared" si="17"/>
        <v>0</v>
      </c>
      <c r="K41" s="26">
        <f t="shared" si="17"/>
        <v>0</v>
      </c>
      <c r="L41" s="26">
        <f t="shared" si="17"/>
        <v>0</v>
      </c>
      <c r="M41" s="26">
        <f t="shared" si="17"/>
        <v>0</v>
      </c>
      <c r="N41" s="26">
        <f t="shared" si="17"/>
        <v>0</v>
      </c>
      <c r="O41" s="27"/>
    </row>
    <row r="42" ht="24.0" customHeight="1">
      <c r="A42" s="28"/>
      <c r="B42" s="29" t="s">
        <v>64</v>
      </c>
      <c r="C42" s="30">
        <f>'Demand Forecast'!C44</f>
        <v>7</v>
      </c>
      <c r="D42" s="30">
        <f>'Demand Forecast'!D44</f>
        <v>44</v>
      </c>
      <c r="E42" s="30">
        <f>'Demand Forecast'!E44</f>
        <v>50</v>
      </c>
      <c r="F42" s="30">
        <f>'Demand Forecast'!F44</f>
        <v>12</v>
      </c>
      <c r="G42" s="30">
        <f>'Demand Forecast'!G44</f>
        <v>14</v>
      </c>
      <c r="H42" s="30">
        <f>'Demand Forecast'!H44</f>
        <v>71</v>
      </c>
      <c r="I42" s="30">
        <f>'Demand Forecast'!I44</f>
        <v>88</v>
      </c>
      <c r="J42" s="30">
        <f>'Demand Forecast'!J44</f>
        <v>20</v>
      </c>
      <c r="K42" s="30">
        <f>'Demand Forecast'!K44</f>
        <v>22</v>
      </c>
      <c r="L42" s="30">
        <f>'Demand Forecast'!L44</f>
        <v>94</v>
      </c>
      <c r="M42" s="30">
        <f>'Demand Forecast'!M44</f>
        <v>116</v>
      </c>
      <c r="N42" s="30">
        <f>'Demand Forecast'!N44</f>
        <v>28</v>
      </c>
      <c r="O42" s="28"/>
    </row>
    <row r="43" ht="24.0" customHeight="1">
      <c r="A43" s="27"/>
      <c r="B43" s="24" t="s">
        <v>65</v>
      </c>
      <c r="C43" s="26">
        <f t="shared" ref="C43:N43" si="18">C41-C42</f>
        <v>103</v>
      </c>
      <c r="D43" s="26">
        <f t="shared" si="18"/>
        <v>59</v>
      </c>
      <c r="E43" s="26">
        <f t="shared" si="18"/>
        <v>9</v>
      </c>
      <c r="F43" s="26">
        <f t="shared" si="18"/>
        <v>-3</v>
      </c>
      <c r="G43" s="26">
        <f t="shared" si="18"/>
        <v>-14</v>
      </c>
      <c r="H43" s="26">
        <f t="shared" si="18"/>
        <v>-71</v>
      </c>
      <c r="I43" s="26">
        <f t="shared" si="18"/>
        <v>-88</v>
      </c>
      <c r="J43" s="26">
        <f t="shared" si="18"/>
        <v>-20</v>
      </c>
      <c r="K43" s="26">
        <f t="shared" si="18"/>
        <v>-22</v>
      </c>
      <c r="L43" s="26">
        <f t="shared" si="18"/>
        <v>-94</v>
      </c>
      <c r="M43" s="26">
        <f t="shared" si="18"/>
        <v>-116</v>
      </c>
      <c r="N43" s="26">
        <f t="shared" si="18"/>
        <v>-28</v>
      </c>
      <c r="O43" s="27"/>
    </row>
    <row r="44" ht="24.0" customHeight="1">
      <c r="A44" s="28"/>
      <c r="B44" s="29" t="s">
        <v>66</v>
      </c>
      <c r="C44" s="31">
        <v>0.0</v>
      </c>
      <c r="D44" s="31">
        <v>0.0</v>
      </c>
      <c r="E44" s="31">
        <v>0.0</v>
      </c>
      <c r="F44" s="31">
        <v>0.0</v>
      </c>
      <c r="G44" s="31">
        <v>0.0</v>
      </c>
      <c r="H44" s="31">
        <v>0.0</v>
      </c>
      <c r="I44" s="31">
        <v>0.0</v>
      </c>
      <c r="J44" s="31">
        <v>0.0</v>
      </c>
      <c r="K44" s="31">
        <v>0.0</v>
      </c>
      <c r="L44" s="31">
        <v>0.0</v>
      </c>
      <c r="M44" s="31">
        <v>0.0</v>
      </c>
      <c r="N44" s="31">
        <v>0.0</v>
      </c>
      <c r="O44" s="28"/>
    </row>
    <row r="45" ht="24.0" customHeight="1">
      <c r="A45" s="27"/>
      <c r="B45" s="24" t="s">
        <v>67</v>
      </c>
      <c r="C45" s="26">
        <f t="shared" ref="C45:N45" si="19">MAX(0,C43+C44)</f>
        <v>103</v>
      </c>
      <c r="D45" s="26">
        <f t="shared" si="19"/>
        <v>59</v>
      </c>
      <c r="E45" s="26">
        <f t="shared" si="19"/>
        <v>9</v>
      </c>
      <c r="F45" s="26">
        <f t="shared" si="19"/>
        <v>0</v>
      </c>
      <c r="G45" s="26">
        <f t="shared" si="19"/>
        <v>0</v>
      </c>
      <c r="H45" s="26">
        <f t="shared" si="19"/>
        <v>0</v>
      </c>
      <c r="I45" s="26">
        <f t="shared" si="19"/>
        <v>0</v>
      </c>
      <c r="J45" s="26">
        <f t="shared" si="19"/>
        <v>0</v>
      </c>
      <c r="K45" s="26">
        <f t="shared" si="19"/>
        <v>0</v>
      </c>
      <c r="L45" s="26">
        <f t="shared" si="19"/>
        <v>0</v>
      </c>
      <c r="M45" s="26">
        <f t="shared" si="19"/>
        <v>0</v>
      </c>
      <c r="N45" s="26">
        <f t="shared" si="19"/>
        <v>0</v>
      </c>
      <c r="O45" s="32" t="str">
        <f>IF(N45&lt;Assumptions!G9,"🚨 REORDER NOW",IF(N45&lt;1.5*Assumptions!G9,"⚠️ ORDER SOON","✅ OK"))</f>
        <v>🚨 REORDER NOW</v>
      </c>
    </row>
    <row r="46" ht="24.0" customHeight="1">
      <c r="A46" s="28"/>
      <c r="B46" s="29" t="s">
        <v>68</v>
      </c>
      <c r="C46" s="33">
        <f t="shared" ref="C46:M46" si="20">IFERROR(C45/D42,"-")</f>
        <v>2.340909091</v>
      </c>
      <c r="D46" s="33">
        <f t="shared" si="20"/>
        <v>1.18</v>
      </c>
      <c r="E46" s="33">
        <f t="shared" si="20"/>
        <v>0.75</v>
      </c>
      <c r="F46" s="33">
        <f t="shared" si="20"/>
        <v>0</v>
      </c>
      <c r="G46" s="33">
        <f t="shared" si="20"/>
        <v>0</v>
      </c>
      <c r="H46" s="33">
        <f t="shared" si="20"/>
        <v>0</v>
      </c>
      <c r="I46" s="33">
        <f t="shared" si="20"/>
        <v>0</v>
      </c>
      <c r="J46" s="33">
        <f t="shared" si="20"/>
        <v>0</v>
      </c>
      <c r="K46" s="33">
        <f t="shared" si="20"/>
        <v>0</v>
      </c>
      <c r="L46" s="33">
        <f t="shared" si="20"/>
        <v>0</v>
      </c>
      <c r="M46" s="33">
        <f t="shared" si="20"/>
        <v>0</v>
      </c>
      <c r="N46" s="29" t="s">
        <v>69</v>
      </c>
      <c r="O46" s="28"/>
    </row>
    <row r="47" ht="24.0" customHeight="1">
      <c r="A47" s="27"/>
      <c r="B47" s="34" t="s">
        <v>70</v>
      </c>
      <c r="C47" s="34" t="str">
        <f t="array" ref="C47">IF(COLUMN()+Assumptions!F9&gt;14,"",IF(INDIRECT(ADDRESS(ROW()-2,COLUMN()+Assumptions!F9))&lt;Assumptions!G9,"ORDER NOW!",""))</f>
        <v>ORDER NOW!</v>
      </c>
      <c r="D47" s="34" t="str">
        <f t="array" ref="D47">IF(COLUMN()+Assumptions!F9&gt;14,"",IF(INDIRECT(ADDRESS(ROW()-2,COLUMN()+Assumptions!F9))&lt;Assumptions!G9,"ORDER NOW!",""))</f>
        <v>ORDER NOW!</v>
      </c>
      <c r="E47" s="34" t="str">
        <f t="array" ref="E47">IF(COLUMN()+Assumptions!F9&gt;14,"",IF(INDIRECT(ADDRESS(ROW()-2,COLUMN()+Assumptions!F9))&lt;Assumptions!G9,"ORDER NOW!",""))</f>
        <v>ORDER NOW!</v>
      </c>
      <c r="F47" s="34" t="str">
        <f t="array" ref="F47">IF(COLUMN()+Assumptions!F9&gt;14,"",IF(INDIRECT(ADDRESS(ROW()-2,COLUMN()+Assumptions!F9))&lt;Assumptions!G9,"ORDER NOW!",""))</f>
        <v>ORDER NOW!</v>
      </c>
      <c r="G47" s="34" t="str">
        <f t="array" ref="G47">IF(COLUMN()+Assumptions!F9&gt;14,"",IF(INDIRECT(ADDRESS(ROW()-2,COLUMN()+Assumptions!F9))&lt;Assumptions!G9,"ORDER NOW!",""))</f>
        <v>ORDER NOW!</v>
      </c>
      <c r="H47" s="34" t="str">
        <f t="array" ref="H47">IF(COLUMN()+Assumptions!F9&gt;14,"",IF(INDIRECT(ADDRESS(ROW()-2,COLUMN()+Assumptions!F9))&lt;Assumptions!G9,"ORDER NOW!",""))</f>
        <v>ORDER NOW!</v>
      </c>
      <c r="I47" s="34" t="str">
        <f t="array" ref="I47">IF(COLUMN()+Assumptions!F9&gt;14,"",IF(INDIRECT(ADDRESS(ROW()-2,COLUMN()+Assumptions!F9))&lt;Assumptions!G9,"ORDER NOW!",""))</f>
        <v>ORDER NOW!</v>
      </c>
      <c r="J47" s="34" t="str">
        <f t="array" ref="J47">IF(COLUMN()+Assumptions!F9&gt;14,"",IF(INDIRECT(ADDRESS(ROW()-2,COLUMN()+Assumptions!F9))&lt;Assumptions!G9,"ORDER NOW!",""))</f>
        <v>ORDER NOW!</v>
      </c>
      <c r="K47" s="34" t="str">
        <f t="array" ref="K47">IF(COLUMN()+Assumptions!F9&gt;14,"",IF(INDIRECT(ADDRESS(ROW()-2,COLUMN()+Assumptions!F9))&lt;Assumptions!G9,"ORDER NOW!",""))</f>
        <v>ORDER NOW!</v>
      </c>
      <c r="L47" s="34" t="str">
        <f t="array" ref="L47">IF(COLUMN()+Assumptions!F9&gt;14,"",IF(INDIRECT(ADDRESS(ROW()-2,COLUMN()+Assumptions!F9))&lt;Assumptions!G9,"ORDER NOW!",""))</f>
        <v/>
      </c>
      <c r="M47" s="34" t="str">
        <f t="array" ref="M47">IF(COLUMN()+Assumptions!F9&gt;14,"",IF(INDIRECT(ADDRESS(ROW()-2,COLUMN()+Assumptions!F9))&lt;Assumptions!G9,"ORDER NOW!",""))</f>
        <v/>
      </c>
      <c r="N47" s="34" t="str">
        <f t="array" ref="N47">IF(COLUMN()+Assumptions!F9&gt;14,"",IF(INDIRECT(ADDRESS(ROW()-2,COLUMN()+Assumptions!F9))&lt;Assumptions!G9,"ORDER NOW!",""))</f>
        <v/>
      </c>
      <c r="O47" s="27"/>
    </row>
    <row r="48" ht="24.0" customHeight="1">
      <c r="A48" s="28"/>
      <c r="B48" s="29" t="s">
        <v>71</v>
      </c>
      <c r="C48" s="35">
        <f t="array" ref="C48">IF(C47="ORDER NOW!",MAX(Assumptions!I9,Assumptions!G9-INDIRECT(ADDRESS(ROW()-3,COLUMN()+Assumptions!F9))+INDIRECT(ADDRESS(ROW()-6,COLUMN()+Assumptions!F9))),"")</f>
        <v>92</v>
      </c>
      <c r="D48" s="35">
        <f t="array" ref="D48">IF(D47="ORDER NOW!",MAX(Assumptions!I9,Assumptions!G9-INDIRECT(ADDRESS(ROW()-3,COLUMN()+Assumptions!F9))+INDIRECT(ADDRESS(ROW()-6,COLUMN()+Assumptions!F9))),"")</f>
        <v>94</v>
      </c>
      <c r="E48" s="35">
        <f t="array" ref="E48">IF(E47="ORDER NOW!",MAX(Assumptions!I9,Assumptions!G9-INDIRECT(ADDRESS(ROW()-3,COLUMN()+Assumptions!F9))+INDIRECT(ADDRESS(ROW()-6,COLUMN()+Assumptions!F9))),"")</f>
        <v>151</v>
      </c>
      <c r="F48" s="35">
        <f t="array" ref="F48">IF(F47="ORDER NOW!",MAX(Assumptions!I9,Assumptions!G9-INDIRECT(ADDRESS(ROW()-3,COLUMN()+Assumptions!F9))+INDIRECT(ADDRESS(ROW()-6,COLUMN()+Assumptions!F9))),"")</f>
        <v>168</v>
      </c>
      <c r="G48" s="35">
        <f t="array" ref="G48">IF(G47="ORDER NOW!",MAX(Assumptions!I9,Assumptions!G9-INDIRECT(ADDRESS(ROW()-3,COLUMN()+Assumptions!F9))+INDIRECT(ADDRESS(ROW()-6,COLUMN()+Assumptions!F9))),"")</f>
        <v>100</v>
      </c>
      <c r="H48" s="35">
        <f t="array" ref="H48">IF(H47="ORDER NOW!",MAX(Assumptions!I9,Assumptions!G9-INDIRECT(ADDRESS(ROW()-3,COLUMN()+Assumptions!F9))+INDIRECT(ADDRESS(ROW()-6,COLUMN()+Assumptions!F9))),"")</f>
        <v>102</v>
      </c>
      <c r="I48" s="35">
        <f t="array" ref="I48">IF(I47="ORDER NOW!",MAX(Assumptions!I9,Assumptions!G9-INDIRECT(ADDRESS(ROW()-3,COLUMN()+Assumptions!F9))+INDIRECT(ADDRESS(ROW()-6,COLUMN()+Assumptions!F9))),"")</f>
        <v>174</v>
      </c>
      <c r="J48" s="35">
        <f t="array" ref="J48">IF(J47="ORDER NOW!",MAX(Assumptions!I9,Assumptions!G9-INDIRECT(ADDRESS(ROW()-3,COLUMN()+Assumptions!F9))+INDIRECT(ADDRESS(ROW()-6,COLUMN()+Assumptions!F9))),"")</f>
        <v>196</v>
      </c>
      <c r="K48" s="35">
        <f t="array" ref="K48">IF(K47="ORDER NOW!",MAX(Assumptions!I9,Assumptions!G9-INDIRECT(ADDRESS(ROW()-3,COLUMN()+Assumptions!F9))+INDIRECT(ADDRESS(ROW()-6,COLUMN()+Assumptions!F9))),"")</f>
        <v>108</v>
      </c>
      <c r="L48" s="35" t="str">
        <f t="array" ref="L48">IF(L47="ORDER NOW!",MAX(Assumptions!I9,Assumptions!G9-INDIRECT(ADDRESS(ROW()-3,COLUMN()+Assumptions!F9))+INDIRECT(ADDRESS(ROW()-6,COLUMN()+Assumptions!F9))),"")</f>
        <v/>
      </c>
      <c r="M48" s="35" t="str">
        <f t="array" ref="M48">IF(M47="ORDER NOW!",MAX(Assumptions!I9,Assumptions!G9-INDIRECT(ADDRESS(ROW()-3,COLUMN()+Assumptions!F9))+INDIRECT(ADDRESS(ROW()-6,COLUMN()+Assumptions!F9))),"")</f>
        <v/>
      </c>
      <c r="N48" s="35" t="str">
        <f t="array" ref="N48">IF(N47="ORDER NOW!",MAX(Assumptions!I9,Assumptions!G9-INDIRECT(ADDRESS(ROW()-3,COLUMN()+Assumptions!F9))+INDIRECT(ADDRESS(ROW()-6,COLUMN()+Assumptions!F9))),"")</f>
        <v/>
      </c>
      <c r="O48" s="28"/>
    </row>
    <row r="49" ht="24.0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</row>
    <row r="50" ht="24.0" customHeight="1">
      <c r="A50" s="23" t="s">
        <v>21</v>
      </c>
      <c r="B50" s="24" t="s">
        <v>63</v>
      </c>
      <c r="C50" s="25">
        <f>Assumptions!H10</f>
        <v>90</v>
      </c>
      <c r="D50" s="26">
        <f t="shared" ref="D50:N50" si="21">C54</f>
        <v>84</v>
      </c>
      <c r="E50" s="26">
        <f t="shared" si="21"/>
        <v>76</v>
      </c>
      <c r="F50" s="26">
        <f t="shared" si="21"/>
        <v>67</v>
      </c>
      <c r="G50" s="26">
        <f t="shared" si="21"/>
        <v>56</v>
      </c>
      <c r="H50" s="26">
        <f t="shared" si="21"/>
        <v>43</v>
      </c>
      <c r="I50" s="26">
        <f t="shared" si="21"/>
        <v>28</v>
      </c>
      <c r="J50" s="26">
        <f t="shared" si="21"/>
        <v>11</v>
      </c>
      <c r="K50" s="26">
        <f t="shared" si="21"/>
        <v>0</v>
      </c>
      <c r="L50" s="26">
        <f t="shared" si="21"/>
        <v>0</v>
      </c>
      <c r="M50" s="26">
        <f t="shared" si="21"/>
        <v>0</v>
      </c>
      <c r="N50" s="26">
        <f t="shared" si="21"/>
        <v>0</v>
      </c>
      <c r="O50" s="27"/>
    </row>
    <row r="51" ht="24.0" customHeight="1">
      <c r="A51" s="28"/>
      <c r="B51" s="29" t="s">
        <v>64</v>
      </c>
      <c r="C51" s="30">
        <f>'Demand Forecast'!C45</f>
        <v>6</v>
      </c>
      <c r="D51" s="30">
        <f>'Demand Forecast'!D45</f>
        <v>8</v>
      </c>
      <c r="E51" s="30">
        <f>'Demand Forecast'!E45</f>
        <v>9</v>
      </c>
      <c r="F51" s="30">
        <f>'Demand Forecast'!F45</f>
        <v>11</v>
      </c>
      <c r="G51" s="30">
        <f>'Demand Forecast'!G45</f>
        <v>13</v>
      </c>
      <c r="H51" s="30">
        <f>'Demand Forecast'!H45</f>
        <v>15</v>
      </c>
      <c r="I51" s="30">
        <f>'Demand Forecast'!I45</f>
        <v>17</v>
      </c>
      <c r="J51" s="30">
        <f>'Demand Forecast'!J45</f>
        <v>19</v>
      </c>
      <c r="K51" s="30">
        <f>'Demand Forecast'!K45</f>
        <v>21</v>
      </c>
      <c r="L51" s="30">
        <f>'Demand Forecast'!L45</f>
        <v>23</v>
      </c>
      <c r="M51" s="30">
        <f>'Demand Forecast'!M45</f>
        <v>25</v>
      </c>
      <c r="N51" s="30">
        <f>'Demand Forecast'!N45</f>
        <v>27</v>
      </c>
      <c r="O51" s="28"/>
    </row>
    <row r="52" ht="24.0" customHeight="1">
      <c r="A52" s="27"/>
      <c r="B52" s="24" t="s">
        <v>65</v>
      </c>
      <c r="C52" s="26">
        <f t="shared" ref="C52:N52" si="22">C50-C51</f>
        <v>84</v>
      </c>
      <c r="D52" s="26">
        <f t="shared" si="22"/>
        <v>76</v>
      </c>
      <c r="E52" s="26">
        <f t="shared" si="22"/>
        <v>67</v>
      </c>
      <c r="F52" s="26">
        <f t="shared" si="22"/>
        <v>56</v>
      </c>
      <c r="G52" s="26">
        <f t="shared" si="22"/>
        <v>43</v>
      </c>
      <c r="H52" s="26">
        <f t="shared" si="22"/>
        <v>28</v>
      </c>
      <c r="I52" s="26">
        <f t="shared" si="22"/>
        <v>11</v>
      </c>
      <c r="J52" s="26">
        <f t="shared" si="22"/>
        <v>-8</v>
      </c>
      <c r="K52" s="26">
        <f t="shared" si="22"/>
        <v>-21</v>
      </c>
      <c r="L52" s="26">
        <f t="shared" si="22"/>
        <v>-23</v>
      </c>
      <c r="M52" s="26">
        <f t="shared" si="22"/>
        <v>-25</v>
      </c>
      <c r="N52" s="26">
        <f t="shared" si="22"/>
        <v>-27</v>
      </c>
      <c r="O52" s="27"/>
    </row>
    <row r="53" ht="24.0" customHeight="1">
      <c r="A53" s="28"/>
      <c r="B53" s="29" t="s">
        <v>66</v>
      </c>
      <c r="C53" s="31">
        <v>0.0</v>
      </c>
      <c r="D53" s="31">
        <v>0.0</v>
      </c>
      <c r="E53" s="31">
        <v>0.0</v>
      </c>
      <c r="F53" s="31">
        <v>0.0</v>
      </c>
      <c r="G53" s="31">
        <v>0.0</v>
      </c>
      <c r="H53" s="31">
        <v>0.0</v>
      </c>
      <c r="I53" s="31">
        <v>0.0</v>
      </c>
      <c r="J53" s="31">
        <v>0.0</v>
      </c>
      <c r="K53" s="31">
        <v>0.0</v>
      </c>
      <c r="L53" s="31">
        <v>0.0</v>
      </c>
      <c r="M53" s="31">
        <v>0.0</v>
      </c>
      <c r="N53" s="31">
        <v>0.0</v>
      </c>
      <c r="O53" s="28"/>
    </row>
    <row r="54" ht="24.0" customHeight="1">
      <c r="A54" s="27"/>
      <c r="B54" s="24" t="s">
        <v>67</v>
      </c>
      <c r="C54" s="26">
        <f t="shared" ref="C54:N54" si="23">MAX(0,C52+C53)</f>
        <v>84</v>
      </c>
      <c r="D54" s="26">
        <f t="shared" si="23"/>
        <v>76</v>
      </c>
      <c r="E54" s="26">
        <f t="shared" si="23"/>
        <v>67</v>
      </c>
      <c r="F54" s="26">
        <f t="shared" si="23"/>
        <v>56</v>
      </c>
      <c r="G54" s="26">
        <f t="shared" si="23"/>
        <v>43</v>
      </c>
      <c r="H54" s="26">
        <f t="shared" si="23"/>
        <v>28</v>
      </c>
      <c r="I54" s="26">
        <f t="shared" si="23"/>
        <v>11</v>
      </c>
      <c r="J54" s="26">
        <f t="shared" si="23"/>
        <v>0</v>
      </c>
      <c r="K54" s="26">
        <f t="shared" si="23"/>
        <v>0</v>
      </c>
      <c r="L54" s="26">
        <f t="shared" si="23"/>
        <v>0</v>
      </c>
      <c r="M54" s="26">
        <f t="shared" si="23"/>
        <v>0</v>
      </c>
      <c r="N54" s="26">
        <f t="shared" si="23"/>
        <v>0</v>
      </c>
      <c r="O54" s="32" t="str">
        <f>IF(N54&lt;Assumptions!G10,"🚨 REORDER NOW",IF(N54&lt;1.5*Assumptions!G10,"⚠️ ORDER SOON","✅ OK"))</f>
        <v>🚨 REORDER NOW</v>
      </c>
    </row>
    <row r="55" ht="24.0" customHeight="1">
      <c r="A55" s="28"/>
      <c r="B55" s="29" t="s">
        <v>68</v>
      </c>
      <c r="C55" s="33">
        <f t="shared" ref="C55:M55" si="24">IFERROR(C54/D51,"-")</f>
        <v>10.5</v>
      </c>
      <c r="D55" s="33">
        <f t="shared" si="24"/>
        <v>8.444444444</v>
      </c>
      <c r="E55" s="33">
        <f t="shared" si="24"/>
        <v>6.090909091</v>
      </c>
      <c r="F55" s="33">
        <f t="shared" si="24"/>
        <v>4.307692308</v>
      </c>
      <c r="G55" s="33">
        <f t="shared" si="24"/>
        <v>2.866666667</v>
      </c>
      <c r="H55" s="33">
        <f t="shared" si="24"/>
        <v>1.647058824</v>
      </c>
      <c r="I55" s="33">
        <f t="shared" si="24"/>
        <v>0.5789473684</v>
      </c>
      <c r="J55" s="33">
        <f t="shared" si="24"/>
        <v>0</v>
      </c>
      <c r="K55" s="33">
        <f t="shared" si="24"/>
        <v>0</v>
      </c>
      <c r="L55" s="33">
        <f t="shared" si="24"/>
        <v>0</v>
      </c>
      <c r="M55" s="33">
        <f t="shared" si="24"/>
        <v>0</v>
      </c>
      <c r="N55" s="29" t="s">
        <v>69</v>
      </c>
      <c r="O55" s="28"/>
    </row>
    <row r="56" ht="24.0" customHeight="1">
      <c r="A56" s="27"/>
      <c r="B56" s="34" t="s">
        <v>70</v>
      </c>
      <c r="C56" s="34" t="str">
        <f t="array" ref="C56">IF(COLUMN()+Assumptions!F10&gt;14,"",IF(INDIRECT(ADDRESS(ROW()-2,COLUMN()+Assumptions!F10))&lt;Assumptions!G10,"ORDER NOW!",""))</f>
        <v>ORDER NOW!</v>
      </c>
      <c r="D56" s="34" t="str">
        <f t="array" ref="D56">IF(COLUMN()+Assumptions!F10&gt;14,"",IF(INDIRECT(ADDRESS(ROW()-2,COLUMN()+Assumptions!F10))&lt;Assumptions!G10,"ORDER NOW!",""))</f>
        <v>ORDER NOW!</v>
      </c>
      <c r="E56" s="34" t="str">
        <f t="array" ref="E56">IF(COLUMN()+Assumptions!F10&gt;14,"",IF(INDIRECT(ADDRESS(ROW()-2,COLUMN()+Assumptions!F10))&lt;Assumptions!G10,"ORDER NOW!",""))</f>
        <v>ORDER NOW!</v>
      </c>
      <c r="F56" s="34" t="str">
        <f t="array" ref="F56">IF(COLUMN()+Assumptions!F10&gt;14,"",IF(INDIRECT(ADDRESS(ROW()-2,COLUMN()+Assumptions!F10))&lt;Assumptions!G10,"ORDER NOW!",""))</f>
        <v>ORDER NOW!</v>
      </c>
      <c r="G56" s="34" t="str">
        <f t="array" ref="G56">IF(COLUMN()+Assumptions!F10&gt;14,"",IF(INDIRECT(ADDRESS(ROW()-2,COLUMN()+Assumptions!F10))&lt;Assumptions!G10,"ORDER NOW!",""))</f>
        <v>ORDER NOW!</v>
      </c>
      <c r="H56" s="34" t="str">
        <f t="array" ref="H56">IF(COLUMN()+Assumptions!F10&gt;14,"",IF(INDIRECT(ADDRESS(ROW()-2,COLUMN()+Assumptions!F10))&lt;Assumptions!G10,"ORDER NOW!",""))</f>
        <v>ORDER NOW!</v>
      </c>
      <c r="I56" s="34" t="str">
        <f t="array" ref="I56">IF(COLUMN()+Assumptions!F10&gt;14,"",IF(INDIRECT(ADDRESS(ROW()-2,COLUMN()+Assumptions!F10))&lt;Assumptions!G10,"ORDER NOW!",""))</f>
        <v>ORDER NOW!</v>
      </c>
      <c r="J56" s="34" t="str">
        <f t="array" ref="J56">IF(COLUMN()+Assumptions!F10&gt;14,"",IF(INDIRECT(ADDRESS(ROW()-2,COLUMN()+Assumptions!F10))&lt;Assumptions!G10,"ORDER NOW!",""))</f>
        <v>ORDER NOW!</v>
      </c>
      <c r="K56" s="34" t="str">
        <f t="array" ref="K56">IF(COLUMN()+Assumptions!F10&gt;14,"",IF(INDIRECT(ADDRESS(ROW()-2,COLUMN()+Assumptions!F10))&lt;Assumptions!G10,"ORDER NOW!",""))</f>
        <v>ORDER NOW!</v>
      </c>
      <c r="L56" s="34" t="str">
        <f t="array" ref="L56">IF(COLUMN()+Assumptions!F10&gt;14,"",IF(INDIRECT(ADDRESS(ROW()-2,COLUMN()+Assumptions!F10))&lt;Assumptions!G10,"ORDER NOW!",""))</f>
        <v/>
      </c>
      <c r="M56" s="34" t="str">
        <f t="array" ref="M56">IF(COLUMN()+Assumptions!F10&gt;14,"",IF(INDIRECT(ADDRESS(ROW()-2,COLUMN()+Assumptions!F10))&lt;Assumptions!G10,"ORDER NOW!",""))</f>
        <v/>
      </c>
      <c r="N56" s="34" t="str">
        <f t="array" ref="N56">IF(COLUMN()+Assumptions!F10&gt;14,"",IF(INDIRECT(ADDRESS(ROW()-2,COLUMN()+Assumptions!F10))&lt;Assumptions!G10,"ORDER NOW!",""))</f>
        <v/>
      </c>
      <c r="O56" s="27"/>
    </row>
    <row r="57" ht="24.0" customHeight="1">
      <c r="A57" s="28"/>
      <c r="B57" s="29" t="s">
        <v>71</v>
      </c>
      <c r="C57" s="35">
        <f t="array" ref="C57">IF(C56="ORDER NOW!",MAX(Assumptions!I10,Assumptions!G10-INDIRECT(ADDRESS(ROW()-3,COLUMN()+Assumptions!F10))+INDIRECT(ADDRESS(ROW()-6,COLUMN()+Assumptions!F10))),"")</f>
        <v>50</v>
      </c>
      <c r="D57" s="35">
        <f t="array" ref="D57">IF(D56="ORDER NOW!",MAX(Assumptions!I10,Assumptions!G10-INDIRECT(ADDRESS(ROW()-3,COLUMN()+Assumptions!F10))+INDIRECT(ADDRESS(ROW()-6,COLUMN()+Assumptions!F10))),"")</f>
        <v>50</v>
      </c>
      <c r="E57" s="35">
        <f t="array" ref="E57">IF(E56="ORDER NOW!",MAX(Assumptions!I10,Assumptions!G10-INDIRECT(ADDRESS(ROW()-3,COLUMN()+Assumptions!F10))+INDIRECT(ADDRESS(ROW()-6,COLUMN()+Assumptions!F10))),"")</f>
        <v>57</v>
      </c>
      <c r="F57" s="35">
        <f t="array" ref="F57">IF(F56="ORDER NOW!",MAX(Assumptions!I10,Assumptions!G10-INDIRECT(ADDRESS(ROW()-3,COLUMN()+Assumptions!F10))+INDIRECT(ADDRESS(ROW()-6,COLUMN()+Assumptions!F10))),"")</f>
        <v>76</v>
      </c>
      <c r="G57" s="35">
        <f t="array" ref="G57">IF(G56="ORDER NOW!",MAX(Assumptions!I10,Assumptions!G10-INDIRECT(ADDRESS(ROW()-3,COLUMN()+Assumptions!F10))+INDIRECT(ADDRESS(ROW()-6,COLUMN()+Assumptions!F10))),"")</f>
        <v>89</v>
      </c>
      <c r="H57" s="35">
        <f t="array" ref="H57">IF(H56="ORDER NOW!",MAX(Assumptions!I10,Assumptions!G10-INDIRECT(ADDRESS(ROW()-3,COLUMN()+Assumptions!F10))+INDIRECT(ADDRESS(ROW()-6,COLUMN()+Assumptions!F10))),"")</f>
        <v>91</v>
      </c>
      <c r="I57" s="35">
        <f t="array" ref="I57">IF(I56="ORDER NOW!",MAX(Assumptions!I10,Assumptions!G10-INDIRECT(ADDRESS(ROW()-3,COLUMN()+Assumptions!F10))+INDIRECT(ADDRESS(ROW()-6,COLUMN()+Assumptions!F10))),"")</f>
        <v>93</v>
      </c>
      <c r="J57" s="35">
        <f t="array" ref="J57">IF(J56="ORDER NOW!",MAX(Assumptions!I10,Assumptions!G10-INDIRECT(ADDRESS(ROW()-3,COLUMN()+Assumptions!F10))+INDIRECT(ADDRESS(ROW()-6,COLUMN()+Assumptions!F10))),"")</f>
        <v>95</v>
      </c>
      <c r="K57" s="35">
        <f t="array" ref="K57">IF(K56="ORDER NOW!",MAX(Assumptions!I10,Assumptions!G10-INDIRECT(ADDRESS(ROW()-3,COLUMN()+Assumptions!F10))+INDIRECT(ADDRESS(ROW()-6,COLUMN()+Assumptions!F10))),"")</f>
        <v>97</v>
      </c>
      <c r="L57" s="35" t="str">
        <f t="array" ref="L57">IF(L56="ORDER NOW!",MAX(Assumptions!I10,Assumptions!G10-INDIRECT(ADDRESS(ROW()-3,COLUMN()+Assumptions!F10))+INDIRECT(ADDRESS(ROW()-6,COLUMN()+Assumptions!F10))),"")</f>
        <v/>
      </c>
      <c r="M57" s="35" t="str">
        <f t="array" ref="M57">IF(M56="ORDER NOW!",MAX(Assumptions!I10,Assumptions!G10-INDIRECT(ADDRESS(ROW()-3,COLUMN()+Assumptions!F10))+INDIRECT(ADDRESS(ROW()-6,COLUMN()+Assumptions!F10))),"")</f>
        <v/>
      </c>
      <c r="N57" s="35" t="str">
        <f t="array" ref="N57">IF(N56="ORDER NOW!",MAX(Assumptions!I10,Assumptions!G10-INDIRECT(ADDRESS(ROW()-3,COLUMN()+Assumptions!F10))+INDIRECT(ADDRESS(ROW()-6,COLUMN()+Assumptions!F10))),"")</f>
        <v/>
      </c>
      <c r="O57" s="28"/>
    </row>
    <row r="58" ht="24.0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</row>
    <row r="59" ht="24.0" customHeight="1">
      <c r="A59" s="23" t="s">
        <v>23</v>
      </c>
      <c r="B59" s="24" t="s">
        <v>63</v>
      </c>
      <c r="C59" s="25">
        <f>Assumptions!H11</f>
        <v>800</v>
      </c>
      <c r="D59" s="26">
        <f t="shared" ref="D59:N59" si="25">C63</f>
        <v>750</v>
      </c>
      <c r="E59" s="26">
        <f t="shared" si="25"/>
        <v>695</v>
      </c>
      <c r="F59" s="26">
        <f t="shared" si="25"/>
        <v>635</v>
      </c>
      <c r="G59" s="26">
        <f t="shared" si="25"/>
        <v>570</v>
      </c>
      <c r="H59" s="26">
        <f t="shared" si="25"/>
        <v>500</v>
      </c>
      <c r="I59" s="26">
        <f t="shared" si="25"/>
        <v>425</v>
      </c>
      <c r="J59" s="26">
        <f t="shared" si="25"/>
        <v>345</v>
      </c>
      <c r="K59" s="26">
        <f t="shared" si="25"/>
        <v>260</v>
      </c>
      <c r="L59" s="26">
        <f t="shared" si="25"/>
        <v>170</v>
      </c>
      <c r="M59" s="26">
        <f t="shared" si="25"/>
        <v>75</v>
      </c>
      <c r="N59" s="26">
        <f t="shared" si="25"/>
        <v>0</v>
      </c>
      <c r="O59" s="27"/>
    </row>
    <row r="60" ht="24.0" customHeight="1">
      <c r="A60" s="28"/>
      <c r="B60" s="29" t="s">
        <v>64</v>
      </c>
      <c r="C60" s="30">
        <f>'Demand Forecast'!C46</f>
        <v>50</v>
      </c>
      <c r="D60" s="30">
        <f>'Demand Forecast'!D46</f>
        <v>55</v>
      </c>
      <c r="E60" s="30">
        <f>'Demand Forecast'!E46</f>
        <v>60</v>
      </c>
      <c r="F60" s="30">
        <f>'Demand Forecast'!F46</f>
        <v>65</v>
      </c>
      <c r="G60" s="30">
        <f>'Demand Forecast'!G46</f>
        <v>70</v>
      </c>
      <c r="H60" s="30">
        <f>'Demand Forecast'!H46</f>
        <v>75</v>
      </c>
      <c r="I60" s="30">
        <f>'Demand Forecast'!I46</f>
        <v>80</v>
      </c>
      <c r="J60" s="30">
        <f>'Demand Forecast'!J46</f>
        <v>85</v>
      </c>
      <c r="K60" s="30">
        <f>'Demand Forecast'!K46</f>
        <v>90</v>
      </c>
      <c r="L60" s="30">
        <f>'Demand Forecast'!L46</f>
        <v>95</v>
      </c>
      <c r="M60" s="30">
        <f>'Demand Forecast'!M46</f>
        <v>100</v>
      </c>
      <c r="N60" s="30">
        <f>'Demand Forecast'!N46</f>
        <v>110</v>
      </c>
      <c r="O60" s="28"/>
    </row>
    <row r="61" ht="24.0" customHeight="1">
      <c r="A61" s="27"/>
      <c r="B61" s="24" t="s">
        <v>65</v>
      </c>
      <c r="C61" s="26">
        <f t="shared" ref="C61:N61" si="26">C59-C60</f>
        <v>750</v>
      </c>
      <c r="D61" s="26">
        <f t="shared" si="26"/>
        <v>695</v>
      </c>
      <c r="E61" s="26">
        <f t="shared" si="26"/>
        <v>635</v>
      </c>
      <c r="F61" s="26">
        <f t="shared" si="26"/>
        <v>570</v>
      </c>
      <c r="G61" s="26">
        <f t="shared" si="26"/>
        <v>500</v>
      </c>
      <c r="H61" s="26">
        <f t="shared" si="26"/>
        <v>425</v>
      </c>
      <c r="I61" s="26">
        <f t="shared" si="26"/>
        <v>345</v>
      </c>
      <c r="J61" s="26">
        <f t="shared" si="26"/>
        <v>260</v>
      </c>
      <c r="K61" s="26">
        <f t="shared" si="26"/>
        <v>170</v>
      </c>
      <c r="L61" s="26">
        <f t="shared" si="26"/>
        <v>75</v>
      </c>
      <c r="M61" s="26">
        <f t="shared" si="26"/>
        <v>-25</v>
      </c>
      <c r="N61" s="26">
        <f t="shared" si="26"/>
        <v>-110</v>
      </c>
      <c r="O61" s="27"/>
    </row>
    <row r="62" ht="24.0" customHeight="1">
      <c r="A62" s="28"/>
      <c r="B62" s="29" t="s">
        <v>66</v>
      </c>
      <c r="C62" s="31">
        <v>0.0</v>
      </c>
      <c r="D62" s="31">
        <v>0.0</v>
      </c>
      <c r="E62" s="31">
        <v>0.0</v>
      </c>
      <c r="F62" s="31">
        <v>0.0</v>
      </c>
      <c r="G62" s="31">
        <v>0.0</v>
      </c>
      <c r="H62" s="31">
        <v>0.0</v>
      </c>
      <c r="I62" s="31">
        <v>0.0</v>
      </c>
      <c r="J62" s="31">
        <v>0.0</v>
      </c>
      <c r="K62" s="31">
        <v>0.0</v>
      </c>
      <c r="L62" s="31">
        <v>0.0</v>
      </c>
      <c r="M62" s="31">
        <v>0.0</v>
      </c>
      <c r="N62" s="31">
        <v>0.0</v>
      </c>
      <c r="O62" s="28"/>
    </row>
    <row r="63" ht="24.0" customHeight="1">
      <c r="A63" s="27"/>
      <c r="B63" s="24" t="s">
        <v>67</v>
      </c>
      <c r="C63" s="26">
        <f t="shared" ref="C63:N63" si="27">MAX(0,C61+C62)</f>
        <v>750</v>
      </c>
      <c r="D63" s="26">
        <f t="shared" si="27"/>
        <v>695</v>
      </c>
      <c r="E63" s="26">
        <f t="shared" si="27"/>
        <v>635</v>
      </c>
      <c r="F63" s="26">
        <f t="shared" si="27"/>
        <v>570</v>
      </c>
      <c r="G63" s="26">
        <f t="shared" si="27"/>
        <v>500</v>
      </c>
      <c r="H63" s="26">
        <f t="shared" si="27"/>
        <v>425</v>
      </c>
      <c r="I63" s="26">
        <f t="shared" si="27"/>
        <v>345</v>
      </c>
      <c r="J63" s="26">
        <f t="shared" si="27"/>
        <v>260</v>
      </c>
      <c r="K63" s="26">
        <f t="shared" si="27"/>
        <v>170</v>
      </c>
      <c r="L63" s="26">
        <f t="shared" si="27"/>
        <v>75</v>
      </c>
      <c r="M63" s="26">
        <f t="shared" si="27"/>
        <v>0</v>
      </c>
      <c r="N63" s="26">
        <f t="shared" si="27"/>
        <v>0</v>
      </c>
      <c r="O63" s="32" t="str">
        <f>IF(N63&lt;Assumptions!G11,"🚨 REORDER NOW",IF(N63&lt;1.5*Assumptions!G11,"⚠️ ORDER SOON","✅ OK"))</f>
        <v>🚨 REORDER NOW</v>
      </c>
    </row>
    <row r="64" ht="24.0" customHeight="1">
      <c r="A64" s="28"/>
      <c r="B64" s="29" t="s">
        <v>68</v>
      </c>
      <c r="C64" s="33">
        <f t="shared" ref="C64:M64" si="28">IFERROR(C63/D60,"-")</f>
        <v>13.63636364</v>
      </c>
      <c r="D64" s="33">
        <f t="shared" si="28"/>
        <v>11.58333333</v>
      </c>
      <c r="E64" s="33">
        <f t="shared" si="28"/>
        <v>9.769230769</v>
      </c>
      <c r="F64" s="33">
        <f t="shared" si="28"/>
        <v>8.142857143</v>
      </c>
      <c r="G64" s="33">
        <f t="shared" si="28"/>
        <v>6.666666667</v>
      </c>
      <c r="H64" s="33">
        <f t="shared" si="28"/>
        <v>5.3125</v>
      </c>
      <c r="I64" s="33">
        <f t="shared" si="28"/>
        <v>4.058823529</v>
      </c>
      <c r="J64" s="33">
        <f t="shared" si="28"/>
        <v>2.888888889</v>
      </c>
      <c r="K64" s="33">
        <f t="shared" si="28"/>
        <v>1.789473684</v>
      </c>
      <c r="L64" s="33">
        <f t="shared" si="28"/>
        <v>0.75</v>
      </c>
      <c r="M64" s="33">
        <f t="shared" si="28"/>
        <v>0</v>
      </c>
      <c r="N64" s="29" t="s">
        <v>69</v>
      </c>
      <c r="O64" s="28"/>
    </row>
    <row r="65" ht="24.0" customHeight="1">
      <c r="A65" s="27"/>
      <c r="B65" s="34" t="s">
        <v>70</v>
      </c>
      <c r="C65" s="34" t="str">
        <f t="array" ref="C65">IF(COLUMN()+Assumptions!F11&gt;14,"",IF(INDIRECT(ADDRESS(ROW()-2,COLUMN()+Assumptions!F11))&lt;Assumptions!G11,"ORDER NOW!",""))</f>
        <v/>
      </c>
      <c r="D65" s="34" t="str">
        <f t="array" ref="D65">IF(COLUMN()+Assumptions!F11&gt;14,"",IF(INDIRECT(ADDRESS(ROW()-2,COLUMN()+Assumptions!F11))&lt;Assumptions!G11,"ORDER NOW!",""))</f>
        <v/>
      </c>
      <c r="E65" s="34" t="str">
        <f t="array" ref="E65">IF(COLUMN()+Assumptions!F11&gt;14,"",IF(INDIRECT(ADDRESS(ROW()-2,COLUMN()+Assumptions!F11))&lt;Assumptions!G11,"ORDER NOW!",""))</f>
        <v/>
      </c>
      <c r="F65" s="34" t="str">
        <f t="array" ref="F65">IF(COLUMN()+Assumptions!F11&gt;14,"",IF(INDIRECT(ADDRESS(ROW()-2,COLUMN()+Assumptions!F11))&lt;Assumptions!G11,"ORDER NOW!",""))</f>
        <v>ORDER NOW!</v>
      </c>
      <c r="G65" s="34" t="str">
        <f t="array" ref="G65">IF(COLUMN()+Assumptions!F11&gt;14,"",IF(INDIRECT(ADDRESS(ROW()-2,COLUMN()+Assumptions!F11))&lt;Assumptions!G11,"ORDER NOW!",""))</f>
        <v>ORDER NOW!</v>
      </c>
      <c r="H65" s="34" t="str">
        <f t="array" ref="H65">IF(COLUMN()+Assumptions!F11&gt;14,"",IF(INDIRECT(ADDRESS(ROW()-2,COLUMN()+Assumptions!F11))&lt;Assumptions!G11,"ORDER NOW!",""))</f>
        <v>ORDER NOW!</v>
      </c>
      <c r="I65" s="34" t="str">
        <f t="array" ref="I65">IF(COLUMN()+Assumptions!F11&gt;14,"",IF(INDIRECT(ADDRESS(ROW()-2,COLUMN()+Assumptions!F11))&lt;Assumptions!G11,"ORDER NOW!",""))</f>
        <v>ORDER NOW!</v>
      </c>
      <c r="J65" s="34" t="str">
        <f t="array" ref="J65">IF(COLUMN()+Assumptions!F11&gt;14,"",IF(INDIRECT(ADDRESS(ROW()-2,COLUMN()+Assumptions!F11))&lt;Assumptions!G11,"ORDER NOW!",""))</f>
        <v>ORDER NOW!</v>
      </c>
      <c r="K65" s="34" t="str">
        <f t="array" ref="K65">IF(COLUMN()+Assumptions!F11&gt;14,"",IF(INDIRECT(ADDRESS(ROW()-2,COLUMN()+Assumptions!F11))&lt;Assumptions!G11,"ORDER NOW!",""))</f>
        <v>ORDER NOW!</v>
      </c>
      <c r="L65" s="34" t="str">
        <f t="array" ref="L65">IF(COLUMN()+Assumptions!F11&gt;14,"",IF(INDIRECT(ADDRESS(ROW()-2,COLUMN()+Assumptions!F11))&lt;Assumptions!G11,"ORDER NOW!",""))</f>
        <v>ORDER NOW!</v>
      </c>
      <c r="M65" s="34" t="str">
        <f t="array" ref="M65">IF(COLUMN()+Assumptions!F11&gt;14,"",IF(INDIRECT(ADDRESS(ROW()-2,COLUMN()+Assumptions!F11))&lt;Assumptions!G11,"ORDER NOW!",""))</f>
        <v/>
      </c>
      <c r="N65" s="34" t="str">
        <f t="array" ref="N65">IF(COLUMN()+Assumptions!F11&gt;14,"",IF(INDIRECT(ADDRESS(ROW()-2,COLUMN()+Assumptions!F11))&lt;Assumptions!G11,"ORDER NOW!",""))</f>
        <v/>
      </c>
      <c r="O65" s="27"/>
    </row>
    <row r="66" ht="24.0" customHeight="1">
      <c r="A66" s="28"/>
      <c r="B66" s="29" t="s">
        <v>71</v>
      </c>
      <c r="C66" s="35" t="str">
        <f t="array" ref="C66">IF(C65="ORDER NOW!",MAX(Assumptions!I11,Assumptions!G11-INDIRECT(ADDRESS(ROW()-3,COLUMN()+Assumptions!F11))+INDIRECT(ADDRESS(ROW()-6,COLUMN()+Assumptions!F11))),"")</f>
        <v/>
      </c>
      <c r="D66" s="35" t="str">
        <f t="array" ref="D66">IF(D65="ORDER NOW!",MAX(Assumptions!I11,Assumptions!G11-INDIRECT(ADDRESS(ROW()-3,COLUMN()+Assumptions!F11))+INDIRECT(ADDRESS(ROW()-6,COLUMN()+Assumptions!F11))),"")</f>
        <v/>
      </c>
      <c r="E66" s="35" t="str">
        <f t="array" ref="E66">IF(E65="ORDER NOW!",MAX(Assumptions!I11,Assumptions!G11-INDIRECT(ADDRESS(ROW()-3,COLUMN()+Assumptions!F11))+INDIRECT(ADDRESS(ROW()-6,COLUMN()+Assumptions!F11))),"")</f>
        <v/>
      </c>
      <c r="F66" s="35">
        <f t="array" ref="F66">IF(F65="ORDER NOW!",MAX(Assumptions!I11,Assumptions!G11-INDIRECT(ADDRESS(ROW()-3,COLUMN()+Assumptions!F11))+INDIRECT(ADDRESS(ROW()-6,COLUMN()+Assumptions!F11))),"")</f>
        <v>200</v>
      </c>
      <c r="G66" s="35">
        <f t="array" ref="G66">IF(G65="ORDER NOW!",MAX(Assumptions!I11,Assumptions!G11-INDIRECT(ADDRESS(ROW()-3,COLUMN()+Assumptions!F11))+INDIRECT(ADDRESS(ROW()-6,COLUMN()+Assumptions!F11))),"")</f>
        <v>235</v>
      </c>
      <c r="H66" s="35">
        <f t="array" ref="H66">IF(H65="ORDER NOW!",MAX(Assumptions!I11,Assumptions!G11-INDIRECT(ADDRESS(ROW()-3,COLUMN()+Assumptions!F11))+INDIRECT(ADDRESS(ROW()-6,COLUMN()+Assumptions!F11))),"")</f>
        <v>325</v>
      </c>
      <c r="I66" s="35">
        <f t="array" ref="I66">IF(I65="ORDER NOW!",MAX(Assumptions!I11,Assumptions!G11-INDIRECT(ADDRESS(ROW()-3,COLUMN()+Assumptions!F11))+INDIRECT(ADDRESS(ROW()-6,COLUMN()+Assumptions!F11))),"")</f>
        <v>420</v>
      </c>
      <c r="J66" s="35">
        <f t="array" ref="J66">IF(J65="ORDER NOW!",MAX(Assumptions!I11,Assumptions!G11-INDIRECT(ADDRESS(ROW()-3,COLUMN()+Assumptions!F11))+INDIRECT(ADDRESS(ROW()-6,COLUMN()+Assumptions!F11))),"")</f>
        <v>520</v>
      </c>
      <c r="K66" s="35">
        <f t="array" ref="K66">IF(K65="ORDER NOW!",MAX(Assumptions!I11,Assumptions!G11-INDIRECT(ADDRESS(ROW()-3,COLUMN()+Assumptions!F11))+INDIRECT(ADDRESS(ROW()-6,COLUMN()+Assumptions!F11))),"")</f>
        <v>600</v>
      </c>
      <c r="L66" s="35">
        <f t="array" ref="L66">IF(L65="ORDER NOW!",MAX(Assumptions!I11,Assumptions!G11-INDIRECT(ADDRESS(ROW()-3,COLUMN()+Assumptions!F11))+INDIRECT(ADDRESS(ROW()-6,COLUMN()+Assumptions!F11))),"")</f>
        <v>610</v>
      </c>
      <c r="M66" s="35" t="str">
        <f t="array" ref="M66">IF(M65="ORDER NOW!",MAX(Assumptions!I11,Assumptions!G11-INDIRECT(ADDRESS(ROW()-3,COLUMN()+Assumptions!F11))+INDIRECT(ADDRESS(ROW()-6,COLUMN()+Assumptions!F11))),"")</f>
        <v/>
      </c>
      <c r="N66" s="35" t="str">
        <f t="array" ref="N66">IF(N65="ORDER NOW!",MAX(Assumptions!I11,Assumptions!G11-INDIRECT(ADDRESS(ROW()-3,COLUMN()+Assumptions!F11))+INDIRECT(ADDRESS(ROW()-6,COLUMN()+Assumptions!F11))),"")</f>
        <v/>
      </c>
      <c r="O66" s="28"/>
    </row>
    <row r="67" ht="24.0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</row>
    <row r="68" ht="24.0" customHeight="1">
      <c r="A68" s="23" t="s">
        <v>25</v>
      </c>
      <c r="B68" s="24" t="s">
        <v>63</v>
      </c>
      <c r="C68" s="25">
        <f>Assumptions!H12</f>
        <v>600</v>
      </c>
      <c r="D68" s="26">
        <f t="shared" ref="D68:N68" si="29">C72</f>
        <v>560</v>
      </c>
      <c r="E68" s="26">
        <f t="shared" si="29"/>
        <v>515</v>
      </c>
      <c r="F68" s="26">
        <f t="shared" si="29"/>
        <v>465</v>
      </c>
      <c r="G68" s="26">
        <f t="shared" si="29"/>
        <v>410</v>
      </c>
      <c r="H68" s="26">
        <f t="shared" si="29"/>
        <v>350</v>
      </c>
      <c r="I68" s="26">
        <f t="shared" si="29"/>
        <v>285</v>
      </c>
      <c r="J68" s="26">
        <f t="shared" si="29"/>
        <v>215</v>
      </c>
      <c r="K68" s="26">
        <f t="shared" si="29"/>
        <v>140</v>
      </c>
      <c r="L68" s="26">
        <f t="shared" si="29"/>
        <v>60</v>
      </c>
      <c r="M68" s="26">
        <f t="shared" si="29"/>
        <v>0</v>
      </c>
      <c r="N68" s="26">
        <f t="shared" si="29"/>
        <v>0</v>
      </c>
      <c r="O68" s="27"/>
    </row>
    <row r="69" ht="24.0" customHeight="1">
      <c r="A69" s="28"/>
      <c r="B69" s="29" t="s">
        <v>64</v>
      </c>
      <c r="C69" s="30">
        <f>'Demand Forecast'!C47</f>
        <v>40</v>
      </c>
      <c r="D69" s="30">
        <f>'Demand Forecast'!D47</f>
        <v>45</v>
      </c>
      <c r="E69" s="30">
        <f>'Demand Forecast'!E47</f>
        <v>50</v>
      </c>
      <c r="F69" s="30">
        <f>'Demand Forecast'!F47</f>
        <v>55</v>
      </c>
      <c r="G69" s="30">
        <f>'Demand Forecast'!G47</f>
        <v>60</v>
      </c>
      <c r="H69" s="30">
        <f>'Demand Forecast'!H47</f>
        <v>65</v>
      </c>
      <c r="I69" s="30">
        <f>'Demand Forecast'!I47</f>
        <v>70</v>
      </c>
      <c r="J69" s="30">
        <f>'Demand Forecast'!J47</f>
        <v>75</v>
      </c>
      <c r="K69" s="30">
        <f>'Demand Forecast'!K47</f>
        <v>80</v>
      </c>
      <c r="L69" s="30">
        <f>'Demand Forecast'!L47</f>
        <v>85</v>
      </c>
      <c r="M69" s="30">
        <f>'Demand Forecast'!M47</f>
        <v>90</v>
      </c>
      <c r="N69" s="30">
        <f>'Demand Forecast'!N47</f>
        <v>95</v>
      </c>
      <c r="O69" s="28"/>
    </row>
    <row r="70" ht="24.0" customHeight="1">
      <c r="A70" s="27"/>
      <c r="B70" s="24" t="s">
        <v>65</v>
      </c>
      <c r="C70" s="26">
        <f t="shared" ref="C70:N70" si="30">C68-C69</f>
        <v>560</v>
      </c>
      <c r="D70" s="26">
        <f t="shared" si="30"/>
        <v>515</v>
      </c>
      <c r="E70" s="26">
        <f t="shared" si="30"/>
        <v>465</v>
      </c>
      <c r="F70" s="26">
        <f t="shared" si="30"/>
        <v>410</v>
      </c>
      <c r="G70" s="26">
        <f t="shared" si="30"/>
        <v>350</v>
      </c>
      <c r="H70" s="26">
        <f t="shared" si="30"/>
        <v>285</v>
      </c>
      <c r="I70" s="26">
        <f t="shared" si="30"/>
        <v>215</v>
      </c>
      <c r="J70" s="26">
        <f t="shared" si="30"/>
        <v>140</v>
      </c>
      <c r="K70" s="26">
        <f t="shared" si="30"/>
        <v>60</v>
      </c>
      <c r="L70" s="26">
        <f t="shared" si="30"/>
        <v>-25</v>
      </c>
      <c r="M70" s="26">
        <f t="shared" si="30"/>
        <v>-90</v>
      </c>
      <c r="N70" s="26">
        <f t="shared" si="30"/>
        <v>-95</v>
      </c>
      <c r="O70" s="27"/>
    </row>
    <row r="71" ht="24.0" customHeight="1">
      <c r="A71" s="28"/>
      <c r="B71" s="29" t="s">
        <v>66</v>
      </c>
      <c r="C71" s="31">
        <v>0.0</v>
      </c>
      <c r="D71" s="31">
        <v>0.0</v>
      </c>
      <c r="E71" s="31">
        <v>0.0</v>
      </c>
      <c r="F71" s="31">
        <v>0.0</v>
      </c>
      <c r="G71" s="31">
        <v>0.0</v>
      </c>
      <c r="H71" s="31">
        <v>0.0</v>
      </c>
      <c r="I71" s="31">
        <v>0.0</v>
      </c>
      <c r="J71" s="31">
        <v>0.0</v>
      </c>
      <c r="K71" s="31">
        <v>0.0</v>
      </c>
      <c r="L71" s="31">
        <v>0.0</v>
      </c>
      <c r="M71" s="31">
        <v>0.0</v>
      </c>
      <c r="N71" s="31">
        <v>0.0</v>
      </c>
      <c r="O71" s="28"/>
    </row>
    <row r="72" ht="24.0" customHeight="1">
      <c r="A72" s="27"/>
      <c r="B72" s="24" t="s">
        <v>67</v>
      </c>
      <c r="C72" s="26">
        <f t="shared" ref="C72:N72" si="31">MAX(0,C70+C71)</f>
        <v>560</v>
      </c>
      <c r="D72" s="26">
        <f t="shared" si="31"/>
        <v>515</v>
      </c>
      <c r="E72" s="26">
        <f t="shared" si="31"/>
        <v>465</v>
      </c>
      <c r="F72" s="26">
        <f t="shared" si="31"/>
        <v>410</v>
      </c>
      <c r="G72" s="26">
        <f t="shared" si="31"/>
        <v>350</v>
      </c>
      <c r="H72" s="26">
        <f t="shared" si="31"/>
        <v>285</v>
      </c>
      <c r="I72" s="26">
        <f t="shared" si="31"/>
        <v>215</v>
      </c>
      <c r="J72" s="26">
        <f t="shared" si="31"/>
        <v>140</v>
      </c>
      <c r="K72" s="26">
        <f t="shared" si="31"/>
        <v>60</v>
      </c>
      <c r="L72" s="26">
        <f t="shared" si="31"/>
        <v>0</v>
      </c>
      <c r="M72" s="26">
        <f t="shared" si="31"/>
        <v>0</v>
      </c>
      <c r="N72" s="26">
        <f t="shared" si="31"/>
        <v>0</v>
      </c>
      <c r="O72" s="32" t="str">
        <f>IF(N72&lt;Assumptions!G12,"🚨 REORDER NOW",IF(N72&lt;1.5*Assumptions!G12,"⚠️ ORDER SOON","✅ OK"))</f>
        <v>🚨 REORDER NOW</v>
      </c>
    </row>
    <row r="73" ht="24.0" customHeight="1">
      <c r="A73" s="28"/>
      <c r="B73" s="29" t="s">
        <v>68</v>
      </c>
      <c r="C73" s="33">
        <f t="shared" ref="C73:M73" si="32">IFERROR(C72/D69,"-")</f>
        <v>12.44444444</v>
      </c>
      <c r="D73" s="33">
        <f t="shared" si="32"/>
        <v>10.3</v>
      </c>
      <c r="E73" s="33">
        <f t="shared" si="32"/>
        <v>8.454545455</v>
      </c>
      <c r="F73" s="33">
        <f t="shared" si="32"/>
        <v>6.833333333</v>
      </c>
      <c r="G73" s="33">
        <f t="shared" si="32"/>
        <v>5.384615385</v>
      </c>
      <c r="H73" s="33">
        <f t="shared" si="32"/>
        <v>4.071428571</v>
      </c>
      <c r="I73" s="33">
        <f t="shared" si="32"/>
        <v>2.866666667</v>
      </c>
      <c r="J73" s="33">
        <f t="shared" si="32"/>
        <v>1.75</v>
      </c>
      <c r="K73" s="33">
        <f t="shared" si="32"/>
        <v>0.7058823529</v>
      </c>
      <c r="L73" s="33">
        <f t="shared" si="32"/>
        <v>0</v>
      </c>
      <c r="M73" s="33">
        <f t="shared" si="32"/>
        <v>0</v>
      </c>
      <c r="N73" s="29" t="s">
        <v>69</v>
      </c>
      <c r="O73" s="28"/>
    </row>
    <row r="74" ht="24.0" customHeight="1">
      <c r="A74" s="27"/>
      <c r="B74" s="34" t="s">
        <v>70</v>
      </c>
      <c r="C74" s="34" t="str">
        <f t="array" ref="C74">IF(COLUMN()+Assumptions!F12&gt;14,"",IF(INDIRECT(ADDRESS(ROW()-2,COLUMN()+Assumptions!F12))&lt;Assumptions!G12,"ORDER NOW!",""))</f>
        <v/>
      </c>
      <c r="D74" s="34" t="str">
        <f t="array" ref="D74">IF(COLUMN()+Assumptions!F12&gt;14,"",IF(INDIRECT(ADDRESS(ROW()-2,COLUMN()+Assumptions!F12))&lt;Assumptions!G12,"ORDER NOW!",""))</f>
        <v/>
      </c>
      <c r="E74" s="34" t="str">
        <f t="array" ref="E74">IF(COLUMN()+Assumptions!F12&gt;14,"",IF(INDIRECT(ADDRESS(ROW()-2,COLUMN()+Assumptions!F12))&lt;Assumptions!G12,"ORDER NOW!",""))</f>
        <v>ORDER NOW!</v>
      </c>
      <c r="F74" s="34" t="str">
        <f t="array" ref="F74">IF(COLUMN()+Assumptions!F12&gt;14,"",IF(INDIRECT(ADDRESS(ROW()-2,COLUMN()+Assumptions!F12))&lt;Assumptions!G12,"ORDER NOW!",""))</f>
        <v>ORDER NOW!</v>
      </c>
      <c r="G74" s="34" t="str">
        <f t="array" ref="G74">IF(COLUMN()+Assumptions!F12&gt;14,"",IF(INDIRECT(ADDRESS(ROW()-2,COLUMN()+Assumptions!F12))&lt;Assumptions!G12,"ORDER NOW!",""))</f>
        <v>ORDER NOW!</v>
      </c>
      <c r="H74" s="34" t="str">
        <f t="array" ref="H74">IF(COLUMN()+Assumptions!F12&gt;14,"",IF(INDIRECT(ADDRESS(ROW()-2,COLUMN()+Assumptions!F12))&lt;Assumptions!G12,"ORDER NOW!",""))</f>
        <v>ORDER NOW!</v>
      </c>
      <c r="I74" s="34" t="str">
        <f t="array" ref="I74">IF(COLUMN()+Assumptions!F12&gt;14,"",IF(INDIRECT(ADDRESS(ROW()-2,COLUMN()+Assumptions!F12))&lt;Assumptions!G12,"ORDER NOW!",""))</f>
        <v>ORDER NOW!</v>
      </c>
      <c r="J74" s="34" t="str">
        <f t="array" ref="J74">IF(COLUMN()+Assumptions!F12&gt;14,"",IF(INDIRECT(ADDRESS(ROW()-2,COLUMN()+Assumptions!F12))&lt;Assumptions!G12,"ORDER NOW!",""))</f>
        <v>ORDER NOW!</v>
      </c>
      <c r="K74" s="34" t="str">
        <f t="array" ref="K74">IF(COLUMN()+Assumptions!F12&gt;14,"",IF(INDIRECT(ADDRESS(ROW()-2,COLUMN()+Assumptions!F12))&lt;Assumptions!G12,"ORDER NOW!",""))</f>
        <v>ORDER NOW!</v>
      </c>
      <c r="L74" s="34" t="str">
        <f t="array" ref="L74">IF(COLUMN()+Assumptions!F12&gt;14,"",IF(INDIRECT(ADDRESS(ROW()-2,COLUMN()+Assumptions!F12))&lt;Assumptions!G12,"ORDER NOW!",""))</f>
        <v>ORDER NOW!</v>
      </c>
      <c r="M74" s="34" t="str">
        <f t="array" ref="M74">IF(COLUMN()+Assumptions!F12&gt;14,"",IF(INDIRECT(ADDRESS(ROW()-2,COLUMN()+Assumptions!F12))&lt;Assumptions!G12,"ORDER NOW!",""))</f>
        <v/>
      </c>
      <c r="N74" s="34" t="str">
        <f t="array" ref="N74">IF(COLUMN()+Assumptions!F12&gt;14,"",IF(INDIRECT(ADDRESS(ROW()-2,COLUMN()+Assumptions!F12))&lt;Assumptions!G12,"ORDER NOW!",""))</f>
        <v/>
      </c>
      <c r="O74" s="27"/>
    </row>
    <row r="75" ht="24.0" customHeight="1">
      <c r="A75" s="28"/>
      <c r="B75" s="29" t="s">
        <v>71</v>
      </c>
      <c r="C75" s="35" t="str">
        <f t="array" ref="C75">IF(C74="ORDER NOW!",MAX(Assumptions!I12,Assumptions!G12-INDIRECT(ADDRESS(ROW()-3,COLUMN()+Assumptions!F12))+INDIRECT(ADDRESS(ROW()-6,COLUMN()+Assumptions!F12))),"")</f>
        <v/>
      </c>
      <c r="D75" s="35" t="str">
        <f t="array" ref="D75">IF(D74="ORDER NOW!",MAX(Assumptions!I12,Assumptions!G12-INDIRECT(ADDRESS(ROW()-3,COLUMN()+Assumptions!F12))+INDIRECT(ADDRESS(ROW()-6,COLUMN()+Assumptions!F12))),"")</f>
        <v/>
      </c>
      <c r="E75" s="35">
        <f t="array" ref="E75">IF(E74="ORDER NOW!",MAX(Assumptions!I12,Assumptions!G12-INDIRECT(ADDRESS(ROW()-3,COLUMN()+Assumptions!F12))+INDIRECT(ADDRESS(ROW()-6,COLUMN()+Assumptions!F12))),"")</f>
        <v>200</v>
      </c>
      <c r="F75" s="35">
        <f t="array" ref="F75">IF(F74="ORDER NOW!",MAX(Assumptions!I12,Assumptions!G12-INDIRECT(ADDRESS(ROW()-3,COLUMN()+Assumptions!F12))+INDIRECT(ADDRESS(ROW()-6,COLUMN()+Assumptions!F12))),"")</f>
        <v>200</v>
      </c>
      <c r="G75" s="35">
        <f t="array" ref="G75">IF(G74="ORDER NOW!",MAX(Assumptions!I12,Assumptions!G12-INDIRECT(ADDRESS(ROW()-3,COLUMN()+Assumptions!F12))+INDIRECT(ADDRESS(ROW()-6,COLUMN()+Assumptions!F12))),"")</f>
        <v>255</v>
      </c>
      <c r="H75" s="35">
        <f t="array" ref="H75">IF(H74="ORDER NOW!",MAX(Assumptions!I12,Assumptions!G12-INDIRECT(ADDRESS(ROW()-3,COLUMN()+Assumptions!F12))+INDIRECT(ADDRESS(ROW()-6,COLUMN()+Assumptions!F12))),"")</f>
        <v>335</v>
      </c>
      <c r="I75" s="35">
        <f t="array" ref="I75">IF(I74="ORDER NOW!",MAX(Assumptions!I12,Assumptions!G12-INDIRECT(ADDRESS(ROW()-3,COLUMN()+Assumptions!F12))+INDIRECT(ADDRESS(ROW()-6,COLUMN()+Assumptions!F12))),"")</f>
        <v>420</v>
      </c>
      <c r="J75" s="35">
        <f t="array" ref="J75">IF(J74="ORDER NOW!",MAX(Assumptions!I12,Assumptions!G12-INDIRECT(ADDRESS(ROW()-3,COLUMN()+Assumptions!F12))+INDIRECT(ADDRESS(ROW()-6,COLUMN()+Assumptions!F12))),"")</f>
        <v>485</v>
      </c>
      <c r="K75" s="35">
        <f t="array" ref="K75">IF(K74="ORDER NOW!",MAX(Assumptions!I12,Assumptions!G12-INDIRECT(ADDRESS(ROW()-3,COLUMN()+Assumptions!F12))+INDIRECT(ADDRESS(ROW()-6,COLUMN()+Assumptions!F12))),"")</f>
        <v>490</v>
      </c>
      <c r="L75" s="35">
        <f t="array" ref="L75">IF(L74="ORDER NOW!",MAX(Assumptions!I12,Assumptions!G12-INDIRECT(ADDRESS(ROW()-3,COLUMN()+Assumptions!F12))+INDIRECT(ADDRESS(ROW()-6,COLUMN()+Assumptions!F12))),"")</f>
        <v>495</v>
      </c>
      <c r="M75" s="35" t="str">
        <f t="array" ref="M75">IF(M74="ORDER NOW!",MAX(Assumptions!I12,Assumptions!G12-INDIRECT(ADDRESS(ROW()-3,COLUMN()+Assumptions!F12))+INDIRECT(ADDRESS(ROW()-6,COLUMN()+Assumptions!F12))),"")</f>
        <v/>
      </c>
      <c r="N75" s="35" t="str">
        <f t="array" ref="N75">IF(N74="ORDER NOW!",MAX(Assumptions!I12,Assumptions!G12-INDIRECT(ADDRESS(ROW()-3,COLUMN()+Assumptions!F12))+INDIRECT(ADDRESS(ROW()-6,COLUMN()+Assumptions!F12))),"")</f>
        <v/>
      </c>
      <c r="O75" s="28"/>
    </row>
    <row r="76" ht="24.0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</row>
    <row r="77" ht="24.0" customHeight="1">
      <c r="A77" s="23" t="s">
        <v>27</v>
      </c>
      <c r="B77" s="24" t="s">
        <v>63</v>
      </c>
      <c r="C77" s="25">
        <f>Assumptions!H13</f>
        <v>350</v>
      </c>
      <c r="D77" s="26">
        <f t="shared" ref="D77:N77" si="33">C81</f>
        <v>320</v>
      </c>
      <c r="E77" s="26">
        <f t="shared" si="33"/>
        <v>285</v>
      </c>
      <c r="F77" s="26">
        <f t="shared" si="33"/>
        <v>245</v>
      </c>
      <c r="G77" s="26">
        <f t="shared" si="33"/>
        <v>200</v>
      </c>
      <c r="H77" s="26">
        <f t="shared" si="33"/>
        <v>150</v>
      </c>
      <c r="I77" s="26">
        <f t="shared" si="33"/>
        <v>95</v>
      </c>
      <c r="J77" s="26">
        <f t="shared" si="33"/>
        <v>35</v>
      </c>
      <c r="K77" s="26">
        <f t="shared" si="33"/>
        <v>0</v>
      </c>
      <c r="L77" s="26">
        <f t="shared" si="33"/>
        <v>0</v>
      </c>
      <c r="M77" s="26">
        <f t="shared" si="33"/>
        <v>0</v>
      </c>
      <c r="N77" s="26">
        <f t="shared" si="33"/>
        <v>0</v>
      </c>
      <c r="O77" s="27"/>
    </row>
    <row r="78" ht="24.0" customHeight="1">
      <c r="A78" s="28"/>
      <c r="B78" s="29" t="s">
        <v>64</v>
      </c>
      <c r="C78" s="30">
        <f>'Demand Forecast'!C48</f>
        <v>30</v>
      </c>
      <c r="D78" s="30">
        <f>'Demand Forecast'!D48</f>
        <v>35</v>
      </c>
      <c r="E78" s="30">
        <f>'Demand Forecast'!E48</f>
        <v>40</v>
      </c>
      <c r="F78" s="30">
        <f>'Demand Forecast'!F48</f>
        <v>45</v>
      </c>
      <c r="G78" s="30">
        <f>'Demand Forecast'!G48</f>
        <v>50</v>
      </c>
      <c r="H78" s="30">
        <f>'Demand Forecast'!H48</f>
        <v>55</v>
      </c>
      <c r="I78" s="30">
        <f>'Demand Forecast'!I48</f>
        <v>60</v>
      </c>
      <c r="J78" s="30">
        <f>'Demand Forecast'!J48</f>
        <v>65</v>
      </c>
      <c r="K78" s="30">
        <f>'Demand Forecast'!K48</f>
        <v>70</v>
      </c>
      <c r="L78" s="30">
        <f>'Demand Forecast'!L48</f>
        <v>75</v>
      </c>
      <c r="M78" s="30">
        <f>'Demand Forecast'!M48</f>
        <v>80</v>
      </c>
      <c r="N78" s="30">
        <f>'Demand Forecast'!N48</f>
        <v>85</v>
      </c>
      <c r="O78" s="28"/>
    </row>
    <row r="79" ht="24.0" customHeight="1">
      <c r="A79" s="27"/>
      <c r="B79" s="24" t="s">
        <v>65</v>
      </c>
      <c r="C79" s="26">
        <f t="shared" ref="C79:N79" si="34">C77-C78</f>
        <v>320</v>
      </c>
      <c r="D79" s="26">
        <f t="shared" si="34"/>
        <v>285</v>
      </c>
      <c r="E79" s="26">
        <f t="shared" si="34"/>
        <v>245</v>
      </c>
      <c r="F79" s="26">
        <f t="shared" si="34"/>
        <v>200</v>
      </c>
      <c r="G79" s="26">
        <f t="shared" si="34"/>
        <v>150</v>
      </c>
      <c r="H79" s="26">
        <f t="shared" si="34"/>
        <v>95</v>
      </c>
      <c r="I79" s="26">
        <f t="shared" si="34"/>
        <v>35</v>
      </c>
      <c r="J79" s="26">
        <f t="shared" si="34"/>
        <v>-30</v>
      </c>
      <c r="K79" s="26">
        <f t="shared" si="34"/>
        <v>-70</v>
      </c>
      <c r="L79" s="26">
        <f t="shared" si="34"/>
        <v>-75</v>
      </c>
      <c r="M79" s="26">
        <f t="shared" si="34"/>
        <v>-80</v>
      </c>
      <c r="N79" s="26">
        <f t="shared" si="34"/>
        <v>-85</v>
      </c>
      <c r="O79" s="27"/>
    </row>
    <row r="80" ht="24.0" customHeight="1">
      <c r="A80" s="28"/>
      <c r="B80" s="29" t="s">
        <v>66</v>
      </c>
      <c r="C80" s="31">
        <v>0.0</v>
      </c>
      <c r="D80" s="31">
        <v>0.0</v>
      </c>
      <c r="E80" s="31">
        <v>0.0</v>
      </c>
      <c r="F80" s="31">
        <v>0.0</v>
      </c>
      <c r="G80" s="31">
        <v>0.0</v>
      </c>
      <c r="H80" s="31">
        <v>0.0</v>
      </c>
      <c r="I80" s="31">
        <v>0.0</v>
      </c>
      <c r="J80" s="31">
        <v>0.0</v>
      </c>
      <c r="K80" s="31">
        <v>0.0</v>
      </c>
      <c r="L80" s="31">
        <v>0.0</v>
      </c>
      <c r="M80" s="31">
        <v>0.0</v>
      </c>
      <c r="N80" s="31">
        <v>0.0</v>
      </c>
      <c r="O80" s="28"/>
    </row>
    <row r="81" ht="24.0" customHeight="1">
      <c r="A81" s="27"/>
      <c r="B81" s="24" t="s">
        <v>67</v>
      </c>
      <c r="C81" s="26">
        <f t="shared" ref="C81:N81" si="35">MAX(0,C79+C80)</f>
        <v>320</v>
      </c>
      <c r="D81" s="26">
        <f t="shared" si="35"/>
        <v>285</v>
      </c>
      <c r="E81" s="26">
        <f t="shared" si="35"/>
        <v>245</v>
      </c>
      <c r="F81" s="26">
        <f t="shared" si="35"/>
        <v>200</v>
      </c>
      <c r="G81" s="26">
        <f t="shared" si="35"/>
        <v>150</v>
      </c>
      <c r="H81" s="26">
        <f t="shared" si="35"/>
        <v>95</v>
      </c>
      <c r="I81" s="26">
        <f t="shared" si="35"/>
        <v>35</v>
      </c>
      <c r="J81" s="26">
        <f t="shared" si="35"/>
        <v>0</v>
      </c>
      <c r="K81" s="26">
        <f t="shared" si="35"/>
        <v>0</v>
      </c>
      <c r="L81" s="26">
        <f t="shared" si="35"/>
        <v>0</v>
      </c>
      <c r="M81" s="26">
        <f t="shared" si="35"/>
        <v>0</v>
      </c>
      <c r="N81" s="26">
        <f t="shared" si="35"/>
        <v>0</v>
      </c>
      <c r="O81" s="32" t="str">
        <f>IF(N81&lt;Assumptions!G13,"🚨 REORDER NOW",IF(N81&lt;1.5*Assumptions!G13,"⚠️ ORDER SOON","✅ OK"))</f>
        <v>🚨 REORDER NOW</v>
      </c>
    </row>
    <row r="82" ht="24.0" customHeight="1">
      <c r="A82" s="28"/>
      <c r="B82" s="29" t="s">
        <v>68</v>
      </c>
      <c r="C82" s="33">
        <f t="shared" ref="C82:M82" si="36">IFERROR(C81/D78,"-")</f>
        <v>9.142857143</v>
      </c>
      <c r="D82" s="33">
        <f t="shared" si="36"/>
        <v>7.125</v>
      </c>
      <c r="E82" s="33">
        <f t="shared" si="36"/>
        <v>5.444444444</v>
      </c>
      <c r="F82" s="33">
        <f t="shared" si="36"/>
        <v>4</v>
      </c>
      <c r="G82" s="33">
        <f t="shared" si="36"/>
        <v>2.727272727</v>
      </c>
      <c r="H82" s="33">
        <f t="shared" si="36"/>
        <v>1.583333333</v>
      </c>
      <c r="I82" s="33">
        <f t="shared" si="36"/>
        <v>0.5384615385</v>
      </c>
      <c r="J82" s="33">
        <f t="shared" si="36"/>
        <v>0</v>
      </c>
      <c r="K82" s="33">
        <f t="shared" si="36"/>
        <v>0</v>
      </c>
      <c r="L82" s="33">
        <f t="shared" si="36"/>
        <v>0</v>
      </c>
      <c r="M82" s="33">
        <f t="shared" si="36"/>
        <v>0</v>
      </c>
      <c r="N82" s="29" t="s">
        <v>69</v>
      </c>
      <c r="O82" s="28"/>
    </row>
    <row r="83" ht="24.0" customHeight="1">
      <c r="A83" s="27"/>
      <c r="B83" s="34" t="s">
        <v>70</v>
      </c>
      <c r="C83" s="34" t="str">
        <f t="array" ref="C83">IF(COLUMN()+Assumptions!F13&gt;14,"",IF(INDIRECT(ADDRESS(ROW()-2,COLUMN()+Assumptions!F13))&lt;Assumptions!G13,"ORDER NOW!",""))</f>
        <v/>
      </c>
      <c r="D83" s="34" t="str">
        <f t="array" ref="D83">IF(COLUMN()+Assumptions!F13&gt;14,"",IF(INDIRECT(ADDRESS(ROW()-2,COLUMN()+Assumptions!F13))&lt;Assumptions!G13,"ORDER NOW!",""))</f>
        <v/>
      </c>
      <c r="E83" s="34" t="str">
        <f t="array" ref="E83">IF(COLUMN()+Assumptions!F13&gt;14,"",IF(INDIRECT(ADDRESS(ROW()-2,COLUMN()+Assumptions!F13))&lt;Assumptions!G13,"ORDER NOW!",""))</f>
        <v>ORDER NOW!</v>
      </c>
      <c r="F83" s="34" t="str">
        <f t="array" ref="F83">IF(COLUMN()+Assumptions!F13&gt;14,"",IF(INDIRECT(ADDRESS(ROW()-2,COLUMN()+Assumptions!F13))&lt;Assumptions!G13,"ORDER NOW!",""))</f>
        <v>ORDER NOW!</v>
      </c>
      <c r="G83" s="34" t="str">
        <f t="array" ref="G83">IF(COLUMN()+Assumptions!F13&gt;14,"",IF(INDIRECT(ADDRESS(ROW()-2,COLUMN()+Assumptions!F13))&lt;Assumptions!G13,"ORDER NOW!",""))</f>
        <v>ORDER NOW!</v>
      </c>
      <c r="H83" s="34" t="str">
        <f t="array" ref="H83">IF(COLUMN()+Assumptions!F13&gt;14,"",IF(INDIRECT(ADDRESS(ROW()-2,COLUMN()+Assumptions!F13))&lt;Assumptions!G13,"ORDER NOW!",""))</f>
        <v>ORDER NOW!</v>
      </c>
      <c r="I83" s="34" t="str">
        <f t="array" ref="I83">IF(COLUMN()+Assumptions!F13&gt;14,"",IF(INDIRECT(ADDRESS(ROW()-2,COLUMN()+Assumptions!F13))&lt;Assumptions!G13,"ORDER NOW!",""))</f>
        <v>ORDER NOW!</v>
      </c>
      <c r="J83" s="34" t="str">
        <f t="array" ref="J83">IF(COLUMN()+Assumptions!F13&gt;14,"",IF(INDIRECT(ADDRESS(ROW()-2,COLUMN()+Assumptions!F13))&lt;Assumptions!G13,"ORDER NOW!",""))</f>
        <v>ORDER NOW!</v>
      </c>
      <c r="K83" s="34" t="str">
        <f t="array" ref="K83">IF(COLUMN()+Assumptions!F13&gt;14,"",IF(INDIRECT(ADDRESS(ROW()-2,COLUMN()+Assumptions!F13))&lt;Assumptions!G13,"ORDER NOW!",""))</f>
        <v>ORDER NOW!</v>
      </c>
      <c r="L83" s="34" t="str">
        <f t="array" ref="L83">IF(COLUMN()+Assumptions!F13&gt;14,"",IF(INDIRECT(ADDRESS(ROW()-2,COLUMN()+Assumptions!F13))&lt;Assumptions!G13,"ORDER NOW!",""))</f>
        <v>ORDER NOW!</v>
      </c>
      <c r="M83" s="34" t="str">
        <f t="array" ref="M83">IF(COLUMN()+Assumptions!F13&gt;14,"",IF(INDIRECT(ADDRESS(ROW()-2,COLUMN()+Assumptions!F13))&lt;Assumptions!G13,"ORDER NOW!",""))</f>
        <v/>
      </c>
      <c r="N83" s="34" t="str">
        <f t="array" ref="N83">IF(COLUMN()+Assumptions!F13&gt;14,"",IF(INDIRECT(ADDRESS(ROW()-2,COLUMN()+Assumptions!F13))&lt;Assumptions!G13,"ORDER NOW!",""))</f>
        <v/>
      </c>
      <c r="O83" s="27"/>
    </row>
    <row r="84" ht="24.0" customHeight="1">
      <c r="A84" s="28"/>
      <c r="B84" s="29" t="s">
        <v>71</v>
      </c>
      <c r="C84" s="35" t="str">
        <f t="array" ref="C84">IF(C83="ORDER NOW!",MAX(Assumptions!I13,Assumptions!G13-INDIRECT(ADDRESS(ROW()-3,COLUMN()+Assumptions!F13))+INDIRECT(ADDRESS(ROW()-6,COLUMN()+Assumptions!F13))),"")</f>
        <v/>
      </c>
      <c r="D84" s="35" t="str">
        <f t="array" ref="D84">IF(D83="ORDER NOW!",MAX(Assumptions!I13,Assumptions!G13-INDIRECT(ADDRESS(ROW()-3,COLUMN()+Assumptions!F13))+INDIRECT(ADDRESS(ROW()-6,COLUMN()+Assumptions!F13))),"")</f>
        <v/>
      </c>
      <c r="E84" s="35">
        <f t="array" ref="E84">IF(E83="ORDER NOW!",MAX(Assumptions!I13,Assumptions!G13-INDIRECT(ADDRESS(ROW()-3,COLUMN()+Assumptions!F13))+INDIRECT(ADDRESS(ROW()-6,COLUMN()+Assumptions!F13))),"")</f>
        <v>100</v>
      </c>
      <c r="F84" s="35">
        <f t="array" ref="F84">IF(F83="ORDER NOW!",MAX(Assumptions!I13,Assumptions!G13-INDIRECT(ADDRESS(ROW()-3,COLUMN()+Assumptions!F13))+INDIRECT(ADDRESS(ROW()-6,COLUMN()+Assumptions!F13))),"")</f>
        <v>160</v>
      </c>
      <c r="G84" s="35">
        <f t="array" ref="G84">IF(G83="ORDER NOW!",MAX(Assumptions!I13,Assumptions!G13-INDIRECT(ADDRESS(ROW()-3,COLUMN()+Assumptions!F13))+INDIRECT(ADDRESS(ROW()-6,COLUMN()+Assumptions!F13))),"")</f>
        <v>225</v>
      </c>
      <c r="H84" s="35">
        <f t="array" ref="H84">IF(H83="ORDER NOW!",MAX(Assumptions!I13,Assumptions!G13-INDIRECT(ADDRESS(ROW()-3,COLUMN()+Assumptions!F13))+INDIRECT(ADDRESS(ROW()-6,COLUMN()+Assumptions!F13))),"")</f>
        <v>265</v>
      </c>
      <c r="I84" s="35">
        <f t="array" ref="I84">IF(I83="ORDER NOW!",MAX(Assumptions!I13,Assumptions!G13-INDIRECT(ADDRESS(ROW()-3,COLUMN()+Assumptions!F13))+INDIRECT(ADDRESS(ROW()-6,COLUMN()+Assumptions!F13))),"")</f>
        <v>270</v>
      </c>
      <c r="J84" s="35">
        <f t="array" ref="J84">IF(J83="ORDER NOW!",MAX(Assumptions!I13,Assumptions!G13-INDIRECT(ADDRESS(ROW()-3,COLUMN()+Assumptions!F13))+INDIRECT(ADDRESS(ROW()-6,COLUMN()+Assumptions!F13))),"")</f>
        <v>275</v>
      </c>
      <c r="K84" s="35">
        <f t="array" ref="K84">IF(K83="ORDER NOW!",MAX(Assumptions!I13,Assumptions!G13-INDIRECT(ADDRESS(ROW()-3,COLUMN()+Assumptions!F13))+INDIRECT(ADDRESS(ROW()-6,COLUMN()+Assumptions!F13))),"")</f>
        <v>280</v>
      </c>
      <c r="L84" s="35">
        <f t="array" ref="L84">IF(L83="ORDER NOW!",MAX(Assumptions!I13,Assumptions!G13-INDIRECT(ADDRESS(ROW()-3,COLUMN()+Assumptions!F13))+INDIRECT(ADDRESS(ROW()-6,COLUMN()+Assumptions!F13))),"")</f>
        <v>285</v>
      </c>
      <c r="M84" s="35" t="str">
        <f t="array" ref="M84">IF(M83="ORDER NOW!",MAX(Assumptions!I13,Assumptions!G13-INDIRECT(ADDRESS(ROW()-3,COLUMN()+Assumptions!F13))+INDIRECT(ADDRESS(ROW()-6,COLUMN()+Assumptions!F13))),"")</f>
        <v/>
      </c>
      <c r="N84" s="35" t="str">
        <f t="array" ref="N84">IF(N83="ORDER NOW!",MAX(Assumptions!I13,Assumptions!G13-INDIRECT(ADDRESS(ROW()-3,COLUMN()+Assumptions!F13))+INDIRECT(ADDRESS(ROW()-6,COLUMN()+Assumptions!F13))),"")</f>
        <v/>
      </c>
      <c r="O84" s="28"/>
    </row>
    <row r="85" ht="24.0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</row>
    <row r="86" ht="24.0" customHeight="1">
      <c r="A86" s="23" t="s">
        <v>29</v>
      </c>
      <c r="B86" s="24" t="s">
        <v>63</v>
      </c>
      <c r="C86" s="25">
        <f>Assumptions!H14</f>
        <v>300</v>
      </c>
      <c r="D86" s="26">
        <f t="shared" ref="D86:N86" si="37">C90</f>
        <v>275</v>
      </c>
      <c r="E86" s="26">
        <f t="shared" si="37"/>
        <v>247</v>
      </c>
      <c r="F86" s="26">
        <f t="shared" si="37"/>
        <v>217</v>
      </c>
      <c r="G86" s="26">
        <f t="shared" si="37"/>
        <v>184</v>
      </c>
      <c r="H86" s="26">
        <f t="shared" si="37"/>
        <v>148</v>
      </c>
      <c r="I86" s="26">
        <f t="shared" si="37"/>
        <v>108</v>
      </c>
      <c r="J86" s="26">
        <f t="shared" si="37"/>
        <v>64</v>
      </c>
      <c r="K86" s="26">
        <f t="shared" si="37"/>
        <v>16</v>
      </c>
      <c r="L86" s="26">
        <f t="shared" si="37"/>
        <v>0</v>
      </c>
      <c r="M86" s="26">
        <f t="shared" si="37"/>
        <v>0</v>
      </c>
      <c r="N86" s="26">
        <f t="shared" si="37"/>
        <v>0</v>
      </c>
      <c r="O86" s="27"/>
    </row>
    <row r="87" ht="24.0" customHeight="1">
      <c r="A87" s="28"/>
      <c r="B87" s="29" t="s">
        <v>64</v>
      </c>
      <c r="C87" s="30">
        <f>'Demand Forecast'!C49</f>
        <v>25</v>
      </c>
      <c r="D87" s="30">
        <f>'Demand Forecast'!D49</f>
        <v>28</v>
      </c>
      <c r="E87" s="30">
        <f>'Demand Forecast'!E49</f>
        <v>30</v>
      </c>
      <c r="F87" s="30">
        <f>'Demand Forecast'!F49</f>
        <v>33</v>
      </c>
      <c r="G87" s="30">
        <f>'Demand Forecast'!G49</f>
        <v>36</v>
      </c>
      <c r="H87" s="30">
        <f>'Demand Forecast'!H49</f>
        <v>40</v>
      </c>
      <c r="I87" s="30">
        <f>'Demand Forecast'!I49</f>
        <v>44</v>
      </c>
      <c r="J87" s="30">
        <f>'Demand Forecast'!J49</f>
        <v>48</v>
      </c>
      <c r="K87" s="30">
        <f>'Demand Forecast'!K49</f>
        <v>52</v>
      </c>
      <c r="L87" s="30">
        <f>'Demand Forecast'!L49</f>
        <v>56</v>
      </c>
      <c r="M87" s="30">
        <f>'Demand Forecast'!M49</f>
        <v>60</v>
      </c>
      <c r="N87" s="30">
        <f>'Demand Forecast'!N49</f>
        <v>65</v>
      </c>
      <c r="O87" s="28"/>
    </row>
    <row r="88" ht="24.0" customHeight="1">
      <c r="A88" s="27"/>
      <c r="B88" s="24" t="s">
        <v>65</v>
      </c>
      <c r="C88" s="26">
        <f t="shared" ref="C88:N88" si="38">C86-C87</f>
        <v>275</v>
      </c>
      <c r="D88" s="26">
        <f t="shared" si="38"/>
        <v>247</v>
      </c>
      <c r="E88" s="26">
        <f t="shared" si="38"/>
        <v>217</v>
      </c>
      <c r="F88" s="26">
        <f t="shared" si="38"/>
        <v>184</v>
      </c>
      <c r="G88" s="26">
        <f t="shared" si="38"/>
        <v>148</v>
      </c>
      <c r="H88" s="26">
        <f t="shared" si="38"/>
        <v>108</v>
      </c>
      <c r="I88" s="26">
        <f t="shared" si="38"/>
        <v>64</v>
      </c>
      <c r="J88" s="26">
        <f t="shared" si="38"/>
        <v>16</v>
      </c>
      <c r="K88" s="26">
        <f t="shared" si="38"/>
        <v>-36</v>
      </c>
      <c r="L88" s="26">
        <f t="shared" si="38"/>
        <v>-56</v>
      </c>
      <c r="M88" s="26">
        <f t="shared" si="38"/>
        <v>-60</v>
      </c>
      <c r="N88" s="26">
        <f t="shared" si="38"/>
        <v>-65</v>
      </c>
      <c r="O88" s="27"/>
    </row>
    <row r="89" ht="24.0" customHeight="1">
      <c r="A89" s="28"/>
      <c r="B89" s="29" t="s">
        <v>66</v>
      </c>
      <c r="C89" s="31">
        <v>0.0</v>
      </c>
      <c r="D89" s="31">
        <v>0.0</v>
      </c>
      <c r="E89" s="31">
        <v>0.0</v>
      </c>
      <c r="F89" s="31">
        <v>0.0</v>
      </c>
      <c r="G89" s="31">
        <v>0.0</v>
      </c>
      <c r="H89" s="31">
        <v>0.0</v>
      </c>
      <c r="I89" s="31">
        <v>0.0</v>
      </c>
      <c r="J89" s="31">
        <v>0.0</v>
      </c>
      <c r="K89" s="31">
        <v>0.0</v>
      </c>
      <c r="L89" s="31">
        <v>0.0</v>
      </c>
      <c r="M89" s="31">
        <v>0.0</v>
      </c>
      <c r="N89" s="31">
        <v>0.0</v>
      </c>
      <c r="O89" s="28"/>
    </row>
    <row r="90" ht="24.0" customHeight="1">
      <c r="A90" s="27"/>
      <c r="B90" s="24" t="s">
        <v>67</v>
      </c>
      <c r="C90" s="26">
        <f t="shared" ref="C90:N90" si="39">MAX(0,C88+C89)</f>
        <v>275</v>
      </c>
      <c r="D90" s="26">
        <f t="shared" si="39"/>
        <v>247</v>
      </c>
      <c r="E90" s="26">
        <f t="shared" si="39"/>
        <v>217</v>
      </c>
      <c r="F90" s="26">
        <f t="shared" si="39"/>
        <v>184</v>
      </c>
      <c r="G90" s="26">
        <f t="shared" si="39"/>
        <v>148</v>
      </c>
      <c r="H90" s="26">
        <f t="shared" si="39"/>
        <v>108</v>
      </c>
      <c r="I90" s="26">
        <f t="shared" si="39"/>
        <v>64</v>
      </c>
      <c r="J90" s="26">
        <f t="shared" si="39"/>
        <v>16</v>
      </c>
      <c r="K90" s="26">
        <f t="shared" si="39"/>
        <v>0</v>
      </c>
      <c r="L90" s="26">
        <f t="shared" si="39"/>
        <v>0</v>
      </c>
      <c r="M90" s="26">
        <f t="shared" si="39"/>
        <v>0</v>
      </c>
      <c r="N90" s="26">
        <f t="shared" si="39"/>
        <v>0</v>
      </c>
      <c r="O90" s="32" t="str">
        <f>IF(N90&lt;Assumptions!G14,"🚨 REORDER NOW",IF(N90&lt;1.5*Assumptions!G14,"⚠️ ORDER SOON","✅ OK"))</f>
        <v>🚨 REORDER NOW</v>
      </c>
    </row>
    <row r="91" ht="24.0" customHeight="1">
      <c r="A91" s="28"/>
      <c r="B91" s="29" t="s">
        <v>68</v>
      </c>
      <c r="C91" s="33">
        <f t="shared" ref="C91:M91" si="40">IFERROR(C90/D87,"-")</f>
        <v>9.821428571</v>
      </c>
      <c r="D91" s="33">
        <f t="shared" si="40"/>
        <v>8.233333333</v>
      </c>
      <c r="E91" s="33">
        <f t="shared" si="40"/>
        <v>6.575757576</v>
      </c>
      <c r="F91" s="33">
        <f t="shared" si="40"/>
        <v>5.111111111</v>
      </c>
      <c r="G91" s="33">
        <f t="shared" si="40"/>
        <v>3.7</v>
      </c>
      <c r="H91" s="33">
        <f t="shared" si="40"/>
        <v>2.454545455</v>
      </c>
      <c r="I91" s="33">
        <f t="shared" si="40"/>
        <v>1.333333333</v>
      </c>
      <c r="J91" s="33">
        <f t="shared" si="40"/>
        <v>0.3076923077</v>
      </c>
      <c r="K91" s="33">
        <f t="shared" si="40"/>
        <v>0</v>
      </c>
      <c r="L91" s="33">
        <f t="shared" si="40"/>
        <v>0</v>
      </c>
      <c r="M91" s="33">
        <f t="shared" si="40"/>
        <v>0</v>
      </c>
      <c r="N91" s="29" t="s">
        <v>69</v>
      </c>
      <c r="O91" s="28"/>
    </row>
    <row r="92" ht="24.0" customHeight="1">
      <c r="A92" s="27"/>
      <c r="B92" s="34" t="s">
        <v>70</v>
      </c>
      <c r="C92" s="34" t="str">
        <f t="array" ref="C92">IF(COLUMN()+Assumptions!F14&gt;14,"",IF(INDIRECT(ADDRESS(ROW()-2,COLUMN()+Assumptions!F14))&lt;Assumptions!G14,"ORDER NOW!",""))</f>
        <v/>
      </c>
      <c r="D92" s="34" t="str">
        <f t="array" ref="D92">IF(COLUMN()+Assumptions!F14&gt;14,"",IF(INDIRECT(ADDRESS(ROW()-2,COLUMN()+Assumptions!F14))&lt;Assumptions!G14,"ORDER NOW!",""))</f>
        <v/>
      </c>
      <c r="E92" s="34" t="str">
        <f t="array" ref="E92">IF(COLUMN()+Assumptions!F14&gt;14,"",IF(INDIRECT(ADDRESS(ROW()-2,COLUMN()+Assumptions!F14))&lt;Assumptions!G14,"ORDER NOW!",""))</f>
        <v>ORDER NOW!</v>
      </c>
      <c r="F92" s="34" t="str">
        <f t="array" ref="F92">IF(COLUMN()+Assumptions!F14&gt;14,"",IF(INDIRECT(ADDRESS(ROW()-2,COLUMN()+Assumptions!F14))&lt;Assumptions!G14,"ORDER NOW!",""))</f>
        <v>ORDER NOW!</v>
      </c>
      <c r="G92" s="34" t="str">
        <f t="array" ref="G92">IF(COLUMN()+Assumptions!F14&gt;14,"",IF(INDIRECT(ADDRESS(ROW()-2,COLUMN()+Assumptions!F14))&lt;Assumptions!G14,"ORDER NOW!",""))</f>
        <v>ORDER NOW!</v>
      </c>
      <c r="H92" s="34" t="str">
        <f t="array" ref="H92">IF(COLUMN()+Assumptions!F14&gt;14,"",IF(INDIRECT(ADDRESS(ROW()-2,COLUMN()+Assumptions!F14))&lt;Assumptions!G14,"ORDER NOW!",""))</f>
        <v>ORDER NOW!</v>
      </c>
      <c r="I92" s="34" t="str">
        <f t="array" ref="I92">IF(COLUMN()+Assumptions!F14&gt;14,"",IF(INDIRECT(ADDRESS(ROW()-2,COLUMN()+Assumptions!F14))&lt;Assumptions!G14,"ORDER NOW!",""))</f>
        <v>ORDER NOW!</v>
      </c>
      <c r="J92" s="34" t="str">
        <f t="array" ref="J92">IF(COLUMN()+Assumptions!F14&gt;14,"",IF(INDIRECT(ADDRESS(ROW()-2,COLUMN()+Assumptions!F14))&lt;Assumptions!G14,"ORDER NOW!",""))</f>
        <v>ORDER NOW!</v>
      </c>
      <c r="K92" s="34" t="str">
        <f t="array" ref="K92">IF(COLUMN()+Assumptions!F14&gt;14,"",IF(INDIRECT(ADDRESS(ROW()-2,COLUMN()+Assumptions!F14))&lt;Assumptions!G14,"ORDER NOW!",""))</f>
        <v>ORDER NOW!</v>
      </c>
      <c r="L92" s="34" t="str">
        <f t="array" ref="L92">IF(COLUMN()+Assumptions!F14&gt;14,"",IF(INDIRECT(ADDRESS(ROW()-2,COLUMN()+Assumptions!F14))&lt;Assumptions!G14,"ORDER NOW!",""))</f>
        <v>ORDER NOW!</v>
      </c>
      <c r="M92" s="34" t="str">
        <f t="array" ref="M92">IF(COLUMN()+Assumptions!F14&gt;14,"",IF(INDIRECT(ADDRESS(ROW()-2,COLUMN()+Assumptions!F14))&lt;Assumptions!G14,"ORDER NOW!",""))</f>
        <v/>
      </c>
      <c r="N92" s="34" t="str">
        <f t="array" ref="N92">IF(COLUMN()+Assumptions!F14&gt;14,"",IF(INDIRECT(ADDRESS(ROW()-2,COLUMN()+Assumptions!F14))&lt;Assumptions!G14,"ORDER NOW!",""))</f>
        <v/>
      </c>
      <c r="O92" s="27"/>
    </row>
    <row r="93" ht="24.0" customHeight="1">
      <c r="A93" s="28"/>
      <c r="B93" s="29" t="s">
        <v>71</v>
      </c>
      <c r="C93" s="35" t="str">
        <f t="array" ref="C93">IF(C92="ORDER NOW!",MAX(Assumptions!I14,Assumptions!G14-INDIRECT(ADDRESS(ROW()-3,COLUMN()+Assumptions!F14))+INDIRECT(ADDRESS(ROW()-6,COLUMN()+Assumptions!F14))),"")</f>
        <v/>
      </c>
      <c r="D93" s="35" t="str">
        <f t="array" ref="D93">IF(D92="ORDER NOW!",MAX(Assumptions!I14,Assumptions!G14-INDIRECT(ADDRESS(ROW()-3,COLUMN()+Assumptions!F14))+INDIRECT(ADDRESS(ROW()-6,COLUMN()+Assumptions!F14))),"")</f>
        <v/>
      </c>
      <c r="E93" s="35">
        <f t="array" ref="E93">IF(E92="ORDER NOW!",MAX(Assumptions!I14,Assumptions!G14-INDIRECT(ADDRESS(ROW()-3,COLUMN()+Assumptions!F14))+INDIRECT(ADDRESS(ROW()-6,COLUMN()+Assumptions!F14))),"")</f>
        <v>75</v>
      </c>
      <c r="F93" s="35">
        <f t="array" ref="F93">IF(F92="ORDER NOW!",MAX(Assumptions!I14,Assumptions!G14-INDIRECT(ADDRESS(ROW()-3,COLUMN()+Assumptions!F14))+INDIRECT(ADDRESS(ROW()-6,COLUMN()+Assumptions!F14))),"")</f>
        <v>82</v>
      </c>
      <c r="G93" s="35">
        <f t="array" ref="G93">IF(G92="ORDER NOW!",MAX(Assumptions!I14,Assumptions!G14-INDIRECT(ADDRESS(ROW()-3,COLUMN()+Assumptions!F14))+INDIRECT(ADDRESS(ROW()-6,COLUMN()+Assumptions!F14))),"")</f>
        <v>130</v>
      </c>
      <c r="H93" s="35">
        <f t="array" ref="H93">IF(H92="ORDER NOW!",MAX(Assumptions!I14,Assumptions!G14-INDIRECT(ADDRESS(ROW()-3,COLUMN()+Assumptions!F14))+INDIRECT(ADDRESS(ROW()-6,COLUMN()+Assumptions!F14))),"")</f>
        <v>182</v>
      </c>
      <c r="I93" s="35">
        <f t="array" ref="I93">IF(I92="ORDER NOW!",MAX(Assumptions!I14,Assumptions!G14-INDIRECT(ADDRESS(ROW()-3,COLUMN()+Assumptions!F14))+INDIRECT(ADDRESS(ROW()-6,COLUMN()+Assumptions!F14))),"")</f>
        <v>202</v>
      </c>
      <c r="J93" s="35">
        <f t="array" ref="J93">IF(J92="ORDER NOW!",MAX(Assumptions!I14,Assumptions!G14-INDIRECT(ADDRESS(ROW()-3,COLUMN()+Assumptions!F14))+INDIRECT(ADDRESS(ROW()-6,COLUMN()+Assumptions!F14))),"")</f>
        <v>206</v>
      </c>
      <c r="K93" s="35">
        <f t="array" ref="K93">IF(K92="ORDER NOW!",MAX(Assumptions!I14,Assumptions!G14-INDIRECT(ADDRESS(ROW()-3,COLUMN()+Assumptions!F14))+INDIRECT(ADDRESS(ROW()-6,COLUMN()+Assumptions!F14))),"")</f>
        <v>210</v>
      </c>
      <c r="L93" s="35">
        <f t="array" ref="L93">IF(L92="ORDER NOW!",MAX(Assumptions!I14,Assumptions!G14-INDIRECT(ADDRESS(ROW()-3,COLUMN()+Assumptions!F14))+INDIRECT(ADDRESS(ROW()-6,COLUMN()+Assumptions!F14))),"")</f>
        <v>215</v>
      </c>
      <c r="M93" s="35" t="str">
        <f t="array" ref="M93">IF(M92="ORDER NOW!",MAX(Assumptions!I14,Assumptions!G14-INDIRECT(ADDRESS(ROW()-3,COLUMN()+Assumptions!F14))+INDIRECT(ADDRESS(ROW()-6,COLUMN()+Assumptions!F14))),"")</f>
        <v/>
      </c>
      <c r="N93" s="35" t="str">
        <f t="array" ref="N93">IF(N92="ORDER NOW!",MAX(Assumptions!I14,Assumptions!G14-INDIRECT(ADDRESS(ROW()-3,COLUMN()+Assumptions!F14))+INDIRECT(ADDRESS(ROW()-6,COLUMN()+Assumptions!F14))),"")</f>
        <v/>
      </c>
      <c r="O93" s="28"/>
    </row>
    <row r="94" ht="24.0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</row>
    <row r="95" ht="24.0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</row>
    <row r="96" ht="24.0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</row>
    <row r="97" ht="24.0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</row>
    <row r="98" ht="24.0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</row>
    <row r="99" ht="24.0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</row>
    <row r="100" ht="24.0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</row>
    <row r="101" ht="24.0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</row>
    <row r="102" ht="24.0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</row>
    <row r="103" ht="24.0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</row>
    <row r="104" ht="24.0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</row>
    <row r="105" ht="24.0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</row>
    <row r="106" ht="24.0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</row>
    <row r="107" ht="24.0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</row>
    <row r="108" ht="24.0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</row>
    <row r="109" ht="24.0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</row>
    <row r="110" ht="24.0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</row>
    <row r="111" ht="24.0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</row>
    <row r="112" ht="24.0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</row>
    <row r="113" ht="24.0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</row>
    <row r="114" ht="24.0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</row>
    <row r="115" ht="24.0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</row>
    <row r="116" ht="24.0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</row>
    <row r="117" ht="24.0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</row>
    <row r="118" ht="24.0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</row>
    <row r="119" ht="24.0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</row>
    <row r="120" ht="24.0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</row>
    <row r="121" ht="24.0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</row>
    <row r="122" ht="24.0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</row>
    <row r="123" ht="24.0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</row>
    <row r="124" ht="24.0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</row>
    <row r="125" ht="24.0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</row>
    <row r="126" ht="24.0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</row>
    <row r="127" ht="24.0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</row>
    <row r="128" ht="24.0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</row>
    <row r="129" ht="24.0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</row>
    <row r="130" ht="24.0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</row>
    <row r="131" ht="24.0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</row>
    <row r="132" ht="24.0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</row>
    <row r="133" ht="24.0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</row>
    <row r="134" ht="24.0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</row>
    <row r="135" ht="24.0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</row>
    <row r="136" ht="24.0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</row>
    <row r="137" ht="24.0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</row>
    <row r="138" ht="24.0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</row>
    <row r="139" ht="24.0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</row>
    <row r="140" ht="24.0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</row>
    <row r="141" ht="24.0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</row>
    <row r="142" ht="24.0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</row>
    <row r="143" ht="24.0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</row>
    <row r="144" ht="24.0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</row>
    <row r="145" ht="24.0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</row>
    <row r="146" ht="24.0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</row>
    <row r="147" ht="24.0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</row>
    <row r="148" ht="24.0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</row>
    <row r="149" ht="24.0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</row>
  </sheetData>
  <mergeCells count="2">
    <mergeCell ref="A1:O1"/>
    <mergeCell ref="A2:O2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/>
  <cols>
    <col customWidth="1" min="1" max="1" width="20.0"/>
    <col customWidth="1" min="2" max="2" width="25.0"/>
    <col customWidth="1" min="3" max="14" width="13.0"/>
    <col customWidth="1" min="15" max="26" width="8.71"/>
  </cols>
  <sheetData>
    <row r="1" ht="34.5" customHeight="1">
      <c r="A1" s="36" t="s">
        <v>72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3"/>
    </row>
    <row r="2" ht="24.75" customHeight="1">
      <c r="A2" s="3" t="s">
        <v>73</v>
      </c>
    </row>
    <row r="3" ht="24.0" customHeight="1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</row>
    <row r="4" ht="24.0" customHeight="1">
      <c r="A4" s="37" t="s">
        <v>74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3"/>
    </row>
    <row r="5" ht="24.0" customHeight="1">
      <c r="A5" s="15" t="s">
        <v>75</v>
      </c>
      <c r="B5" s="15" t="s">
        <v>76</v>
      </c>
      <c r="C5" s="21" t="s">
        <v>41</v>
      </c>
      <c r="D5" s="21" t="s">
        <v>42</v>
      </c>
      <c r="E5" s="21" t="s">
        <v>43</v>
      </c>
      <c r="F5" s="21" t="s">
        <v>44</v>
      </c>
      <c r="G5" s="21" t="s">
        <v>45</v>
      </c>
      <c r="H5" s="21" t="s">
        <v>46</v>
      </c>
      <c r="I5" s="21" t="s">
        <v>47</v>
      </c>
      <c r="J5" s="21" t="s">
        <v>48</v>
      </c>
      <c r="K5" s="21" t="s">
        <v>49</v>
      </c>
      <c r="L5" s="21" t="s">
        <v>50</v>
      </c>
      <c r="M5" s="21" t="s">
        <v>51</v>
      </c>
      <c r="N5" s="21" t="s">
        <v>52</v>
      </c>
    </row>
    <row r="6" ht="24.0" customHeight="1">
      <c r="A6" s="15" t="s">
        <v>77</v>
      </c>
      <c r="B6" s="15" t="s">
        <v>78</v>
      </c>
      <c r="C6" s="38">
        <f>('Demand Forecast'!C6*Assumptions!D5)+('Demand Forecast'!C7*Assumptions!D6)+('Demand Forecast'!C8*Assumptions!D7)+('Demand Forecast'!C9*Assumptions!D8)+('Demand Forecast'!C10*Assumptions!D9)+('Demand Forecast'!C11*Assumptions!D10)+('Demand Forecast'!C12*Assumptions!D11)+('Demand Forecast'!C13*Assumptions!D12)+('Demand Forecast'!C14*Assumptions!D13)+('Demand Forecast'!C15*Assumptions!D14)</f>
        <v>22609.97</v>
      </c>
      <c r="D6" s="38">
        <f>('Demand Forecast'!D6*Assumptions!D5)+('Demand Forecast'!D7*Assumptions!D6)+('Demand Forecast'!D8*Assumptions!D7)+('Demand Forecast'!D9*Assumptions!D8)+('Demand Forecast'!D10*Assumptions!D9)+('Demand Forecast'!D11*Assumptions!D10)+('Demand Forecast'!D12*Assumptions!D11)+('Demand Forecast'!D13*Assumptions!D12)+('Demand Forecast'!D14*Assumptions!D13)+('Demand Forecast'!D15*Assumptions!D14)</f>
        <v>27421.66</v>
      </c>
      <c r="E6" s="38">
        <f>('Demand Forecast'!E6*Assumptions!D5)+('Demand Forecast'!E7*Assumptions!D6)+('Demand Forecast'!E8*Assumptions!D7)+('Demand Forecast'!E9*Assumptions!D8)+('Demand Forecast'!E10*Assumptions!D9)+('Demand Forecast'!E11*Assumptions!D10)+('Demand Forecast'!E12*Assumptions!D11)+('Demand Forecast'!E13*Assumptions!D12)+('Demand Forecast'!E14*Assumptions!D13)+('Demand Forecast'!E15*Assumptions!D14)</f>
        <v>30807.4</v>
      </c>
      <c r="F6" s="38">
        <f>('Demand Forecast'!F6*Assumptions!D5)+('Demand Forecast'!F7*Assumptions!D6)+('Demand Forecast'!F8*Assumptions!D7)+('Demand Forecast'!F9*Assumptions!D8)+('Demand Forecast'!F10*Assumptions!D9)+('Demand Forecast'!F11*Assumptions!D10)+('Demand Forecast'!F12*Assumptions!D11)+('Demand Forecast'!F13*Assumptions!D12)+('Demand Forecast'!F14*Assumptions!D13)+('Demand Forecast'!F15*Assumptions!D14)</f>
        <v>34931.11</v>
      </c>
      <c r="G6" s="38">
        <f>('Demand Forecast'!G6*Assumptions!D5)+('Demand Forecast'!G7*Assumptions!D6)+('Demand Forecast'!G8*Assumptions!D7)+('Demand Forecast'!G9*Assumptions!D8)+('Demand Forecast'!G10*Assumptions!D9)+('Demand Forecast'!G11*Assumptions!D10)+('Demand Forecast'!G12*Assumptions!D11)+('Demand Forecast'!G13*Assumptions!D12)+('Demand Forecast'!G14*Assumptions!D13)+('Demand Forecast'!G15*Assumptions!D14)</f>
        <v>39742.8</v>
      </c>
      <c r="H6" s="38">
        <f>('Demand Forecast'!H6*Assumptions!D5)+('Demand Forecast'!H7*Assumptions!D6)+('Demand Forecast'!H8*Assumptions!D7)+('Demand Forecast'!H9*Assumptions!D8)+('Demand Forecast'!H10*Assumptions!D9)+('Demand Forecast'!H11*Assumptions!D10)+('Demand Forecast'!H12*Assumptions!D11)+('Demand Forecast'!H13*Assumptions!D12)+('Demand Forecast'!H14*Assumptions!D13)+('Demand Forecast'!H15*Assumptions!D14)</f>
        <v>44604.48</v>
      </c>
      <c r="I6" s="38">
        <f>('Demand Forecast'!I6*Assumptions!D5)+('Demand Forecast'!I7*Assumptions!D6)+('Demand Forecast'!I8*Assumptions!D7)+('Demand Forecast'!I9*Assumptions!D8)+('Demand Forecast'!I10*Assumptions!D9)+('Demand Forecast'!I11*Assumptions!D10)+('Demand Forecast'!I12*Assumptions!D11)+('Demand Forecast'!I13*Assumptions!D12)+('Demand Forecast'!I14*Assumptions!D13)+('Demand Forecast'!I15*Assumptions!D14)</f>
        <v>49122.17</v>
      </c>
      <c r="J6" s="38">
        <f>('Demand Forecast'!J6*Assumptions!D5)+('Demand Forecast'!J7*Assumptions!D6)+('Demand Forecast'!J8*Assumptions!D7)+('Demand Forecast'!J9*Assumptions!D8)+('Demand Forecast'!J10*Assumptions!D9)+('Demand Forecast'!J11*Assumptions!D10)+('Demand Forecast'!J12*Assumptions!D11)+('Demand Forecast'!J13*Assumptions!D12)+('Demand Forecast'!J14*Assumptions!D13)+('Demand Forecast'!J15*Assumptions!D14)</f>
        <v>53639.86</v>
      </c>
      <c r="K6" s="38">
        <f>('Demand Forecast'!K6*Assumptions!D5)+('Demand Forecast'!K7*Assumptions!D6)+('Demand Forecast'!K8*Assumptions!D7)+('Demand Forecast'!K9*Assumptions!D8)+('Demand Forecast'!K10*Assumptions!D9)+('Demand Forecast'!K11*Assumptions!D10)+('Demand Forecast'!K12*Assumptions!D11)+('Demand Forecast'!K13*Assumptions!D12)+('Demand Forecast'!K14*Assumptions!D13)+('Demand Forecast'!K15*Assumptions!D14)</f>
        <v>58501.54</v>
      </c>
      <c r="L6" s="38">
        <f>('Demand Forecast'!L6*Assumptions!D5)+('Demand Forecast'!L7*Assumptions!D6)+('Demand Forecast'!L8*Assumptions!D7)+('Demand Forecast'!L9*Assumptions!D8)+('Demand Forecast'!L10*Assumptions!D9)+('Demand Forecast'!L11*Assumptions!D10)+('Demand Forecast'!L12*Assumptions!D11)+('Demand Forecast'!L13*Assumptions!D12)+('Demand Forecast'!L14*Assumptions!D13)+('Demand Forecast'!L15*Assumptions!D14)</f>
        <v>63363.22</v>
      </c>
      <c r="M6" s="38">
        <f>('Demand Forecast'!M6*Assumptions!D5)+('Demand Forecast'!M7*Assumptions!D6)+('Demand Forecast'!M8*Assumptions!D7)+('Demand Forecast'!M9*Assumptions!D8)+('Demand Forecast'!M10*Assumptions!D9)+('Demand Forecast'!M11*Assumptions!D10)+('Demand Forecast'!M12*Assumptions!D11)+('Demand Forecast'!M13*Assumptions!D12)+('Demand Forecast'!M14*Assumptions!D13)+('Demand Forecast'!M15*Assumptions!D14)</f>
        <v>67880.91</v>
      </c>
      <c r="N6" s="38">
        <f>('Demand Forecast'!N6*Assumptions!D5)+('Demand Forecast'!N7*Assumptions!D6)+('Demand Forecast'!N8*Assumptions!D7)+('Demand Forecast'!N9*Assumptions!D8)+('Demand Forecast'!N10*Assumptions!D9)+('Demand Forecast'!N11*Assumptions!D10)+('Demand Forecast'!N12*Assumptions!D11)+('Demand Forecast'!N13*Assumptions!D12)+('Demand Forecast'!N14*Assumptions!D13)+('Demand Forecast'!N15*Assumptions!D14)</f>
        <v>74557.48</v>
      </c>
    </row>
    <row r="7" ht="24.0" customHeight="1">
      <c r="A7" s="15" t="s">
        <v>79</v>
      </c>
      <c r="B7" s="15" t="s">
        <v>80</v>
      </c>
      <c r="C7" s="38">
        <f>('Demand Forecast'!C18*Assumptions!E5)+('Demand Forecast'!C19*Assumptions!E5)+('Demand Forecast'!C20*Assumptions!E6)+('Demand Forecast'!C21*Assumptions!E6)+('Demand Forecast'!C22*Assumptions!E7)+('Demand Forecast'!C23*Assumptions!E7)+('Demand Forecast'!C24*Assumptions!E8)+('Demand Forecast'!C25*Assumptions!E8)+('Demand Forecast'!C26*Assumptions!E9)+('Demand Forecast'!C27*Assumptions!E9)+('Demand Forecast'!C28*Assumptions!E10)+('Demand Forecast'!C29*Assumptions!E10)+('Demand Forecast'!C30*Assumptions!E11)+('Demand Forecast'!C31*Assumptions!E11)+('Demand Forecast'!C32*Assumptions!E12)+('Demand Forecast'!C33*Assumptions!E12)+('Demand Forecast'!C34*Assumptions!E13)+('Demand Forecast'!C35*Assumptions!E13)+('Demand Forecast'!C36*Assumptions!E14)+('Demand Forecast'!C37*Assumptions!E14)</f>
        <v>0</v>
      </c>
      <c r="D7" s="38">
        <f>('Demand Forecast'!D18*Assumptions!E5)+('Demand Forecast'!D19*Assumptions!E5)+('Demand Forecast'!D20*Assumptions!E6)+('Demand Forecast'!D21*Assumptions!E6)+('Demand Forecast'!D22*Assumptions!E7)+('Demand Forecast'!D23*Assumptions!E7)+('Demand Forecast'!D24*Assumptions!E8)+('Demand Forecast'!D25*Assumptions!E8)+('Demand Forecast'!D26*Assumptions!E9)+('Demand Forecast'!D27*Assumptions!E9)+('Demand Forecast'!D28*Assumptions!E10)+('Demand Forecast'!D29*Assumptions!E10)+('Demand Forecast'!D30*Assumptions!E11)+('Demand Forecast'!D31*Assumptions!E11)+('Demand Forecast'!D32*Assumptions!E12)+('Demand Forecast'!D33*Assumptions!E12)+('Demand Forecast'!D34*Assumptions!E13)+('Demand Forecast'!D35*Assumptions!E13)+('Demand Forecast'!D36*Assumptions!E14)+('Demand Forecast'!D37*Assumptions!E14)</f>
        <v>85425</v>
      </c>
      <c r="E7" s="38">
        <f>('Demand Forecast'!E18*Assumptions!E5)+('Demand Forecast'!E19*Assumptions!E5)+('Demand Forecast'!E20*Assumptions!E6)+('Demand Forecast'!E21*Assumptions!E6)+('Demand Forecast'!E22*Assumptions!E7)+('Demand Forecast'!E23*Assumptions!E7)+('Demand Forecast'!E24*Assumptions!E8)+('Demand Forecast'!E25*Assumptions!E8)+('Demand Forecast'!E26*Assumptions!E9)+('Demand Forecast'!E27*Assumptions!E9)+('Demand Forecast'!E28*Assumptions!E10)+('Demand Forecast'!E29*Assumptions!E10)+('Demand Forecast'!E30*Assumptions!E11)+('Demand Forecast'!E31*Assumptions!E11)+('Demand Forecast'!E32*Assumptions!E12)+('Demand Forecast'!E33*Assumptions!E12)+('Demand Forecast'!E34*Assumptions!E13)+('Demand Forecast'!E35*Assumptions!E13)+('Demand Forecast'!E36*Assumptions!E14)+('Demand Forecast'!E37*Assumptions!E14)</f>
        <v>115700</v>
      </c>
      <c r="F7" s="38">
        <f>('Demand Forecast'!F18*Assumptions!E5)+('Demand Forecast'!F19*Assumptions!E5)+('Demand Forecast'!F20*Assumptions!E6)+('Demand Forecast'!F21*Assumptions!E6)+('Demand Forecast'!F22*Assumptions!E7)+('Demand Forecast'!F23*Assumptions!E7)+('Demand Forecast'!F24*Assumptions!E8)+('Demand Forecast'!F25*Assumptions!E8)+('Demand Forecast'!F26*Assumptions!E9)+('Demand Forecast'!F27*Assumptions!E9)+('Demand Forecast'!F28*Assumptions!E10)+('Demand Forecast'!F29*Assumptions!E10)+('Demand Forecast'!F30*Assumptions!E11)+('Demand Forecast'!F31*Assumptions!E11)+('Demand Forecast'!F32*Assumptions!E12)+('Demand Forecast'!F33*Assumptions!E12)+('Demand Forecast'!F34*Assumptions!E13)+('Demand Forecast'!F35*Assumptions!E13)+('Demand Forecast'!F36*Assumptions!E14)+('Demand Forecast'!F37*Assumptions!E14)</f>
        <v>0</v>
      </c>
      <c r="G7" s="38">
        <f>('Demand Forecast'!G18*Assumptions!E5)+('Demand Forecast'!G19*Assumptions!E5)+('Demand Forecast'!G20*Assumptions!E6)+('Demand Forecast'!G21*Assumptions!E6)+('Demand Forecast'!G22*Assumptions!E7)+('Demand Forecast'!G23*Assumptions!E7)+('Demand Forecast'!G24*Assumptions!E8)+('Demand Forecast'!G25*Assumptions!E8)+('Demand Forecast'!G26*Assumptions!E9)+('Demand Forecast'!G27*Assumptions!E9)+('Demand Forecast'!G28*Assumptions!E10)+('Demand Forecast'!G29*Assumptions!E10)+('Demand Forecast'!G30*Assumptions!E11)+('Demand Forecast'!G31*Assumptions!E11)+('Demand Forecast'!G32*Assumptions!E12)+('Demand Forecast'!G33*Assumptions!E12)+('Demand Forecast'!G34*Assumptions!E13)+('Demand Forecast'!G35*Assumptions!E13)+('Demand Forecast'!G36*Assumptions!E14)+('Demand Forecast'!G37*Assumptions!E14)</f>
        <v>0</v>
      </c>
      <c r="H7" s="38">
        <f>('Demand Forecast'!H18*Assumptions!E5)+('Demand Forecast'!H19*Assumptions!E5)+('Demand Forecast'!H20*Assumptions!E6)+('Demand Forecast'!H21*Assumptions!E6)+('Demand Forecast'!H22*Assumptions!E7)+('Demand Forecast'!H23*Assumptions!E7)+('Demand Forecast'!H24*Assumptions!E8)+('Demand Forecast'!H25*Assumptions!E8)+('Demand Forecast'!H26*Assumptions!E9)+('Demand Forecast'!H27*Assumptions!E9)+('Demand Forecast'!H28*Assumptions!E10)+('Demand Forecast'!H29*Assumptions!E10)+('Demand Forecast'!H30*Assumptions!E11)+('Demand Forecast'!H31*Assumptions!E11)+('Demand Forecast'!H32*Assumptions!E12)+('Demand Forecast'!H33*Assumptions!E12)+('Demand Forecast'!H34*Assumptions!E13)+('Demand Forecast'!H35*Assumptions!E13)+('Demand Forecast'!H36*Assumptions!E14)+('Demand Forecast'!H37*Assumptions!E14)</f>
        <v>122650</v>
      </c>
      <c r="I7" s="38">
        <f>('Demand Forecast'!I18*Assumptions!E5)+('Demand Forecast'!I19*Assumptions!E5)+('Demand Forecast'!I20*Assumptions!E6)+('Demand Forecast'!I21*Assumptions!E6)+('Demand Forecast'!I22*Assumptions!E7)+('Demand Forecast'!I23*Assumptions!E7)+('Demand Forecast'!I24*Assumptions!E8)+('Demand Forecast'!I25*Assumptions!E8)+('Demand Forecast'!I26*Assumptions!E9)+('Demand Forecast'!I27*Assumptions!E9)+('Demand Forecast'!I28*Assumptions!E10)+('Demand Forecast'!I29*Assumptions!E10)+('Demand Forecast'!I30*Assumptions!E11)+('Demand Forecast'!I31*Assumptions!E11)+('Demand Forecast'!I32*Assumptions!E12)+('Demand Forecast'!I33*Assumptions!E12)+('Demand Forecast'!I34*Assumptions!E13)+('Demand Forecast'!I35*Assumptions!E13)+('Demand Forecast'!I36*Assumptions!E14)+('Demand Forecast'!I37*Assumptions!E14)</f>
        <v>170850</v>
      </c>
      <c r="J7" s="38">
        <f>('Demand Forecast'!J18*Assumptions!E5)+('Demand Forecast'!J19*Assumptions!E5)+('Demand Forecast'!J20*Assumptions!E6)+('Demand Forecast'!J21*Assumptions!E6)+('Demand Forecast'!J22*Assumptions!E7)+('Demand Forecast'!J23*Assumptions!E7)+('Demand Forecast'!J24*Assumptions!E8)+('Demand Forecast'!J25*Assumptions!E8)+('Demand Forecast'!J26*Assumptions!E9)+('Demand Forecast'!J27*Assumptions!E9)+('Demand Forecast'!J28*Assumptions!E10)+('Demand Forecast'!J29*Assumptions!E10)+('Demand Forecast'!J30*Assumptions!E11)+('Demand Forecast'!J31*Assumptions!E11)+('Demand Forecast'!J32*Assumptions!E12)+('Demand Forecast'!J33*Assumptions!E12)+('Demand Forecast'!J34*Assumptions!E13)+('Demand Forecast'!J35*Assumptions!E13)+('Demand Forecast'!J36*Assumptions!E14)+('Demand Forecast'!J37*Assumptions!E14)</f>
        <v>0</v>
      </c>
      <c r="K7" s="38">
        <f>('Demand Forecast'!K18*Assumptions!E5)+('Demand Forecast'!K19*Assumptions!E5)+('Demand Forecast'!K20*Assumptions!E6)+('Demand Forecast'!K21*Assumptions!E6)+('Demand Forecast'!K22*Assumptions!E7)+('Demand Forecast'!K23*Assumptions!E7)+('Demand Forecast'!K24*Assumptions!E8)+('Demand Forecast'!K25*Assumptions!E8)+('Demand Forecast'!K26*Assumptions!E9)+('Demand Forecast'!K27*Assumptions!E9)+('Demand Forecast'!K28*Assumptions!E10)+('Demand Forecast'!K29*Assumptions!E10)+('Demand Forecast'!K30*Assumptions!E11)+('Demand Forecast'!K31*Assumptions!E11)+('Demand Forecast'!K32*Assumptions!E12)+('Demand Forecast'!K33*Assumptions!E12)+('Demand Forecast'!K34*Assumptions!E13)+('Demand Forecast'!K35*Assumptions!E13)+('Demand Forecast'!K36*Assumptions!E14)+('Demand Forecast'!K37*Assumptions!E14)</f>
        <v>0</v>
      </c>
      <c r="L7" s="38">
        <f>('Demand Forecast'!L18*Assumptions!E5)+('Demand Forecast'!L19*Assumptions!E5)+('Demand Forecast'!L20*Assumptions!E6)+('Demand Forecast'!L21*Assumptions!E6)+('Demand Forecast'!L22*Assumptions!E7)+('Demand Forecast'!L23*Assumptions!E7)+('Demand Forecast'!L24*Assumptions!E8)+('Demand Forecast'!L25*Assumptions!E8)+('Demand Forecast'!L26*Assumptions!E9)+('Demand Forecast'!L27*Assumptions!E9)+('Demand Forecast'!L28*Assumptions!E10)+('Demand Forecast'!L29*Assumptions!E10)+('Demand Forecast'!L30*Assumptions!E11)+('Demand Forecast'!L31*Assumptions!E11)+('Demand Forecast'!L32*Assumptions!E12)+('Demand Forecast'!L33*Assumptions!E12)+('Demand Forecast'!L34*Assumptions!E13)+('Demand Forecast'!L35*Assumptions!E13)+('Demand Forecast'!L36*Assumptions!E14)+('Demand Forecast'!L37*Assumptions!E14)</f>
        <v>157100</v>
      </c>
      <c r="M7" s="38">
        <f>('Demand Forecast'!M18*Assumptions!E5)+('Demand Forecast'!M19*Assumptions!E5)+('Demand Forecast'!M20*Assumptions!E6)+('Demand Forecast'!M21*Assumptions!E6)+('Demand Forecast'!M22*Assumptions!E7)+('Demand Forecast'!M23*Assumptions!E7)+('Demand Forecast'!M24*Assumptions!E8)+('Demand Forecast'!M25*Assumptions!E8)+('Demand Forecast'!M26*Assumptions!E9)+('Demand Forecast'!M27*Assumptions!E9)+('Demand Forecast'!M28*Assumptions!E10)+('Demand Forecast'!M29*Assumptions!E10)+('Demand Forecast'!M30*Assumptions!E11)+('Demand Forecast'!M31*Assumptions!E11)+('Demand Forecast'!M32*Assumptions!E12)+('Demand Forecast'!M33*Assumptions!E12)+('Demand Forecast'!M34*Assumptions!E13)+('Demand Forecast'!M35*Assumptions!E13)+('Demand Forecast'!M36*Assumptions!E14)+('Demand Forecast'!M37*Assumptions!E14)</f>
        <v>217700</v>
      </c>
      <c r="N7" s="38">
        <f>('Demand Forecast'!N18*Assumptions!E5)+('Demand Forecast'!N19*Assumptions!E5)+('Demand Forecast'!N20*Assumptions!E6)+('Demand Forecast'!N21*Assumptions!E6)+('Demand Forecast'!N22*Assumptions!E7)+('Demand Forecast'!N23*Assumptions!E7)+('Demand Forecast'!N24*Assumptions!E8)+('Demand Forecast'!N25*Assumptions!E8)+('Demand Forecast'!N26*Assumptions!E9)+('Demand Forecast'!N27*Assumptions!E9)+('Demand Forecast'!N28*Assumptions!E10)+('Demand Forecast'!N29*Assumptions!E10)+('Demand Forecast'!N30*Assumptions!E11)+('Demand Forecast'!N31*Assumptions!E11)+('Demand Forecast'!N32*Assumptions!E12)+('Demand Forecast'!N33*Assumptions!E12)+('Demand Forecast'!N34*Assumptions!E13)+('Demand Forecast'!N35*Assumptions!E13)+('Demand Forecast'!N36*Assumptions!E14)+('Demand Forecast'!N37*Assumptions!E14)</f>
        <v>0</v>
      </c>
    </row>
    <row r="8" ht="24.0" customHeight="1">
      <c r="A8" s="10" t="s">
        <v>81</v>
      </c>
      <c r="B8" s="10"/>
      <c r="C8" s="39">
        <f t="shared" ref="C8:N8" si="1">C6+C7</f>
        <v>22609.97</v>
      </c>
      <c r="D8" s="39">
        <f t="shared" si="1"/>
        <v>112846.66</v>
      </c>
      <c r="E8" s="39">
        <f t="shared" si="1"/>
        <v>146507.4</v>
      </c>
      <c r="F8" s="39">
        <f t="shared" si="1"/>
        <v>34931.11</v>
      </c>
      <c r="G8" s="39">
        <f t="shared" si="1"/>
        <v>39742.8</v>
      </c>
      <c r="H8" s="39">
        <f t="shared" si="1"/>
        <v>167254.48</v>
      </c>
      <c r="I8" s="39">
        <f t="shared" si="1"/>
        <v>219972.17</v>
      </c>
      <c r="J8" s="39">
        <f t="shared" si="1"/>
        <v>53639.86</v>
      </c>
      <c r="K8" s="39">
        <f t="shared" si="1"/>
        <v>58501.54</v>
      </c>
      <c r="L8" s="39">
        <f t="shared" si="1"/>
        <v>220463.22</v>
      </c>
      <c r="M8" s="39">
        <f t="shared" si="1"/>
        <v>285580.91</v>
      </c>
      <c r="N8" s="39">
        <f t="shared" si="1"/>
        <v>74557.48</v>
      </c>
    </row>
    <row r="9" ht="15.0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</row>
    <row r="10" ht="24.0" customHeight="1">
      <c r="A10" s="37" t="s">
        <v>82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3"/>
    </row>
    <row r="11" ht="24.0" customHeight="1">
      <c r="A11" s="15" t="s">
        <v>75</v>
      </c>
      <c r="B11" s="15" t="s">
        <v>76</v>
      </c>
      <c r="C11" s="21" t="s">
        <v>41</v>
      </c>
      <c r="D11" s="21" t="s">
        <v>42</v>
      </c>
      <c r="E11" s="21" t="s">
        <v>43</v>
      </c>
      <c r="F11" s="21" t="s">
        <v>44</v>
      </c>
      <c r="G11" s="21" t="s">
        <v>45</v>
      </c>
      <c r="H11" s="21" t="s">
        <v>46</v>
      </c>
      <c r="I11" s="21" t="s">
        <v>47</v>
      </c>
      <c r="J11" s="21" t="s">
        <v>48</v>
      </c>
      <c r="K11" s="21" t="s">
        <v>49</v>
      </c>
      <c r="L11" s="21" t="s">
        <v>50</v>
      </c>
      <c r="M11" s="21" t="s">
        <v>51</v>
      </c>
      <c r="N11" s="21" t="s">
        <v>52</v>
      </c>
    </row>
    <row r="12" ht="24.0" customHeight="1">
      <c r="A12" s="10" t="s">
        <v>83</v>
      </c>
      <c r="B12" s="15" t="s">
        <v>84</v>
      </c>
      <c r="C12" s="40">
        <f>'Demand Forecast'!C40+'Demand Forecast'!C41+'Demand Forecast'!C42+'Demand Forecast'!C43+'Demand Forecast'!C44+'Demand Forecast'!C45+'Demand Forecast'!C46+'Demand Forecast'!C47+'Demand Forecast'!C48+'Demand Forecast'!C49</f>
        <v>203</v>
      </c>
      <c r="D12" s="40">
        <f>'Demand Forecast'!D40+'Demand Forecast'!D41+'Demand Forecast'!D42+'Demand Forecast'!D43+'Demand Forecast'!D44+'Demand Forecast'!D45+'Demand Forecast'!D46+'Demand Forecast'!D47+'Demand Forecast'!D48+'Demand Forecast'!D49</f>
        <v>544</v>
      </c>
      <c r="E12" s="40">
        <f>'Demand Forecast'!E40+'Demand Forecast'!E41+'Demand Forecast'!E42+'Demand Forecast'!E43+'Demand Forecast'!E44+'Demand Forecast'!E45+'Demand Forecast'!E46+'Demand Forecast'!E47+'Demand Forecast'!E48+'Demand Forecast'!E49</f>
        <v>680</v>
      </c>
      <c r="F12" s="40">
        <f>'Demand Forecast'!F40+'Demand Forecast'!F41+'Demand Forecast'!F42+'Demand Forecast'!F43+'Demand Forecast'!F44+'Demand Forecast'!F45+'Demand Forecast'!F46+'Demand Forecast'!F47+'Demand Forecast'!F48+'Demand Forecast'!F49</f>
        <v>289</v>
      </c>
      <c r="G12" s="40">
        <f>'Demand Forecast'!G40+'Demand Forecast'!G41+'Demand Forecast'!G42+'Demand Forecast'!G43+'Demand Forecast'!G44+'Demand Forecast'!G45+'Demand Forecast'!G46+'Demand Forecast'!G47+'Demand Forecast'!G48+'Demand Forecast'!G49</f>
        <v>320</v>
      </c>
      <c r="H12" s="40">
        <f>'Demand Forecast'!H40+'Demand Forecast'!H41+'Demand Forecast'!H42+'Demand Forecast'!H43+'Demand Forecast'!H44+'Demand Forecast'!H45+'Demand Forecast'!H46+'Demand Forecast'!H47+'Demand Forecast'!H48+'Demand Forecast'!H49</f>
        <v>797</v>
      </c>
      <c r="I12" s="40">
        <f>'Demand Forecast'!I40+'Demand Forecast'!I41+'Demand Forecast'!I42+'Demand Forecast'!I43+'Demand Forecast'!I44+'Demand Forecast'!I45+'Demand Forecast'!I46+'Demand Forecast'!I47+'Demand Forecast'!I48+'Demand Forecast'!I49</f>
        <v>1003</v>
      </c>
      <c r="J12" s="40">
        <f>'Demand Forecast'!J40+'Demand Forecast'!J41+'Demand Forecast'!J42+'Demand Forecast'!J43+'Demand Forecast'!J44+'Demand Forecast'!J45+'Demand Forecast'!J46+'Demand Forecast'!J47+'Demand Forecast'!J48+'Demand Forecast'!J49</f>
        <v>414</v>
      </c>
      <c r="K12" s="40">
        <f>'Demand Forecast'!K40+'Demand Forecast'!K41+'Demand Forecast'!K42+'Demand Forecast'!K43+'Demand Forecast'!K44+'Demand Forecast'!K45+'Demand Forecast'!K46+'Demand Forecast'!K47+'Demand Forecast'!K48+'Demand Forecast'!K49</f>
        <v>446</v>
      </c>
      <c r="L12" s="40">
        <f>'Demand Forecast'!L40+'Demand Forecast'!L41+'Demand Forecast'!L42+'Demand Forecast'!L43+'Demand Forecast'!L44+'Demand Forecast'!L45+'Demand Forecast'!L46+'Demand Forecast'!L47+'Demand Forecast'!L48+'Demand Forecast'!L49</f>
        <v>1048</v>
      </c>
      <c r="M12" s="40">
        <f>'Demand Forecast'!M40+'Demand Forecast'!M41+'Demand Forecast'!M42+'Demand Forecast'!M43+'Demand Forecast'!M44+'Demand Forecast'!M45+'Demand Forecast'!M46+'Demand Forecast'!M47+'Demand Forecast'!M48+'Demand Forecast'!M49</f>
        <v>1299</v>
      </c>
      <c r="N12" s="40">
        <f>'Demand Forecast'!N40+'Demand Forecast'!N41+'Demand Forecast'!N42+'Demand Forecast'!N43+'Demand Forecast'!N44+'Demand Forecast'!N45+'Demand Forecast'!N46+'Demand Forecast'!N47+'Demand Forecast'!N48+'Demand Forecast'!N49</f>
        <v>552</v>
      </c>
    </row>
    <row r="13" ht="24.0" customHeight="1">
      <c r="A13" s="15" t="s">
        <v>85</v>
      </c>
      <c r="B13" s="15" t="s">
        <v>86</v>
      </c>
      <c r="C13" s="38">
        <f>('Demand Forecast'!C40*Assumptions!C5)+('Demand Forecast'!C41*Assumptions!C6)+('Demand Forecast'!C42*Assumptions!C7)+('Demand Forecast'!C43*Assumptions!C8)+('Demand Forecast'!C44*Assumptions!C9)+('Demand Forecast'!C45*Assumptions!C10)+('Demand Forecast'!C46*Assumptions!C11)+('Demand Forecast'!C47*Assumptions!C12)+('Demand Forecast'!C48*Assumptions!C13)+('Demand Forecast'!C49*Assumptions!C14)</f>
        <v>8225</v>
      </c>
      <c r="D13" s="38">
        <f>('Demand Forecast'!D40*Assumptions!C5)+('Demand Forecast'!D41*Assumptions!C6)+('Demand Forecast'!D42*Assumptions!C7)+('Demand Forecast'!D43*Assumptions!C8)+('Demand Forecast'!D44*Assumptions!C9)+('Demand Forecast'!D45*Assumptions!C10)+('Demand Forecast'!D46*Assumptions!C11)+('Demand Forecast'!D47*Assumptions!C12)+('Demand Forecast'!D48*Assumptions!C13)+('Demand Forecast'!D49*Assumptions!C14)</f>
        <v>47332.5</v>
      </c>
      <c r="E13" s="38">
        <f>('Demand Forecast'!E40*Assumptions!C5)+('Demand Forecast'!E41*Assumptions!C6)+('Demand Forecast'!E42*Assumptions!C7)+('Demand Forecast'!E43*Assumptions!C8)+('Demand Forecast'!E44*Assumptions!C9)+('Demand Forecast'!E45*Assumptions!C10)+('Demand Forecast'!E46*Assumptions!C11)+('Demand Forecast'!E47*Assumptions!C12)+('Demand Forecast'!E48*Assumptions!C13)+('Demand Forecast'!E49*Assumptions!C14)</f>
        <v>61775</v>
      </c>
      <c r="F13" s="38">
        <f>('Demand Forecast'!F40*Assumptions!C5)+('Demand Forecast'!F41*Assumptions!C6)+('Demand Forecast'!F42*Assumptions!C7)+('Demand Forecast'!F43*Assumptions!C8)+('Demand Forecast'!F44*Assumptions!C9)+('Demand Forecast'!F45*Assumptions!C10)+('Demand Forecast'!F46*Assumptions!C11)+('Demand Forecast'!F47*Assumptions!C12)+('Demand Forecast'!F48*Assumptions!C13)+('Demand Forecast'!F49*Assumptions!C14)</f>
        <v>12667.5</v>
      </c>
      <c r="G13" s="38">
        <f>('Demand Forecast'!G40*Assumptions!C5)+('Demand Forecast'!G41*Assumptions!C6)+('Demand Forecast'!G42*Assumptions!C7)+('Demand Forecast'!G43*Assumptions!C8)+('Demand Forecast'!G44*Assumptions!C9)+('Demand Forecast'!G45*Assumptions!C10)+('Demand Forecast'!G46*Assumptions!C11)+('Demand Forecast'!G47*Assumptions!C12)+('Demand Forecast'!G48*Assumptions!C13)+('Demand Forecast'!G49*Assumptions!C14)</f>
        <v>14400</v>
      </c>
      <c r="H13" s="38">
        <f>('Demand Forecast'!H40*Assumptions!C5)+('Demand Forecast'!H41*Assumptions!C6)+('Demand Forecast'!H42*Assumptions!C7)+('Demand Forecast'!H43*Assumptions!C8)+('Demand Forecast'!H44*Assumptions!C9)+('Demand Forecast'!H45*Assumptions!C10)+('Demand Forecast'!H46*Assumptions!C11)+('Demand Forecast'!H47*Assumptions!C12)+('Demand Forecast'!H48*Assumptions!C13)+('Demand Forecast'!H49*Assumptions!C14)</f>
        <v>69832.5</v>
      </c>
      <c r="I13" s="38">
        <f>('Demand Forecast'!I40*Assumptions!C5)+('Demand Forecast'!I41*Assumptions!C6)+('Demand Forecast'!I42*Assumptions!C7)+('Demand Forecast'!I43*Assumptions!C8)+('Demand Forecast'!I44*Assumptions!C9)+('Demand Forecast'!I45*Assumptions!C10)+('Demand Forecast'!I46*Assumptions!C11)+('Demand Forecast'!I47*Assumptions!C12)+('Demand Forecast'!I48*Assumptions!C13)+('Demand Forecast'!I49*Assumptions!C14)</f>
        <v>92545</v>
      </c>
      <c r="J13" s="38">
        <f>('Demand Forecast'!J40*Assumptions!C5)+('Demand Forecast'!J41*Assumptions!C6)+('Demand Forecast'!J42*Assumptions!C7)+('Demand Forecast'!J43*Assumptions!C8)+('Demand Forecast'!J44*Assumptions!C9)+('Demand Forecast'!J45*Assumptions!C10)+('Demand Forecast'!J46*Assumptions!C11)+('Demand Forecast'!J47*Assumptions!C12)+('Demand Forecast'!J48*Assumptions!C13)+('Demand Forecast'!J49*Assumptions!C14)</f>
        <v>19432.5</v>
      </c>
      <c r="K13" s="38">
        <f>('Demand Forecast'!K40*Assumptions!C5)+('Demand Forecast'!K41*Assumptions!C6)+('Demand Forecast'!K42*Assumptions!C7)+('Demand Forecast'!K43*Assumptions!C8)+('Demand Forecast'!K44*Assumptions!C9)+('Demand Forecast'!K45*Assumptions!C10)+('Demand Forecast'!K46*Assumptions!C11)+('Demand Forecast'!K47*Assumptions!C12)+('Demand Forecast'!K48*Assumptions!C13)+('Demand Forecast'!K49*Assumptions!C14)</f>
        <v>21190</v>
      </c>
      <c r="L13" s="38">
        <f>('Demand Forecast'!L40*Assumptions!C5)+('Demand Forecast'!L41*Assumptions!C6)+('Demand Forecast'!L42*Assumptions!C7)+('Demand Forecast'!L43*Assumptions!C8)+('Demand Forecast'!L44*Assumptions!C9)+('Demand Forecast'!L45*Assumptions!C10)+('Demand Forecast'!L46*Assumptions!C11)+('Demand Forecast'!L47*Assumptions!C12)+('Demand Forecast'!L48*Assumptions!C13)+('Demand Forecast'!L49*Assumptions!C14)</f>
        <v>91697.5</v>
      </c>
      <c r="M13" s="38">
        <f>('Demand Forecast'!M40*Assumptions!C5)+('Demand Forecast'!M41*Assumptions!C6)+('Demand Forecast'!M42*Assumptions!C7)+('Demand Forecast'!M43*Assumptions!C8)+('Demand Forecast'!M44*Assumptions!C9)+('Demand Forecast'!M45*Assumptions!C10)+('Demand Forecast'!M46*Assumptions!C11)+('Demand Forecast'!M47*Assumptions!C12)+('Demand Forecast'!M48*Assumptions!C13)+('Demand Forecast'!M49*Assumptions!C14)</f>
        <v>119835</v>
      </c>
      <c r="N13" s="38">
        <f>('Demand Forecast'!N40*Assumptions!C5)+('Demand Forecast'!N41*Assumptions!C6)+('Demand Forecast'!N42*Assumptions!C7)+('Demand Forecast'!N43*Assumptions!C8)+('Demand Forecast'!N44*Assumptions!C9)+('Demand Forecast'!N45*Assumptions!C10)+('Demand Forecast'!N46*Assumptions!C11)+('Demand Forecast'!N47*Assumptions!C12)+('Demand Forecast'!N48*Assumptions!C13)+('Demand Forecast'!N49*Assumptions!C14)</f>
        <v>26985</v>
      </c>
    </row>
    <row r="14" ht="24.0" customHeight="1">
      <c r="A14" s="15" t="s">
        <v>87</v>
      </c>
      <c r="B14" s="10"/>
      <c r="C14" s="39">
        <f t="shared" ref="C14:N14" si="2">C8-C13</f>
        <v>14384.97</v>
      </c>
      <c r="D14" s="39">
        <f t="shared" si="2"/>
        <v>65514.16</v>
      </c>
      <c r="E14" s="39">
        <f t="shared" si="2"/>
        <v>84732.4</v>
      </c>
      <c r="F14" s="39">
        <f t="shared" si="2"/>
        <v>22263.61</v>
      </c>
      <c r="G14" s="39">
        <f t="shared" si="2"/>
        <v>25342.8</v>
      </c>
      <c r="H14" s="39">
        <f t="shared" si="2"/>
        <v>97421.98</v>
      </c>
      <c r="I14" s="39">
        <f t="shared" si="2"/>
        <v>127427.17</v>
      </c>
      <c r="J14" s="39">
        <f t="shared" si="2"/>
        <v>34207.36</v>
      </c>
      <c r="K14" s="39">
        <f t="shared" si="2"/>
        <v>37311.54</v>
      </c>
      <c r="L14" s="39">
        <f t="shared" si="2"/>
        <v>128765.72</v>
      </c>
      <c r="M14" s="39">
        <f t="shared" si="2"/>
        <v>165745.91</v>
      </c>
      <c r="N14" s="39">
        <f t="shared" si="2"/>
        <v>47572.48</v>
      </c>
    </row>
    <row r="15" ht="24.0" customHeight="1">
      <c r="A15" s="15" t="s">
        <v>88</v>
      </c>
      <c r="B15" s="10"/>
      <c r="C15" s="41">
        <f t="shared" ref="C15:N15" si="3">IFERROR(C14/C8,0)</f>
        <v>0.6362224275</v>
      </c>
      <c r="D15" s="41">
        <f t="shared" si="3"/>
        <v>0.5805591411</v>
      </c>
      <c r="E15" s="41">
        <f t="shared" si="3"/>
        <v>0.5783489435</v>
      </c>
      <c r="F15" s="41">
        <f t="shared" si="3"/>
        <v>0.6373576448</v>
      </c>
      <c r="G15" s="41">
        <f t="shared" si="3"/>
        <v>0.6376702195</v>
      </c>
      <c r="H15" s="41">
        <f t="shared" si="3"/>
        <v>0.5824775516</v>
      </c>
      <c r="I15" s="41">
        <f t="shared" si="3"/>
        <v>0.579287689</v>
      </c>
      <c r="J15" s="41">
        <f t="shared" si="3"/>
        <v>0.6377227681</v>
      </c>
      <c r="K15" s="41">
        <f t="shared" si="3"/>
        <v>0.6377873129</v>
      </c>
      <c r="L15" s="41">
        <f t="shared" si="3"/>
        <v>0.5840689436</v>
      </c>
      <c r="M15" s="41">
        <f t="shared" si="3"/>
        <v>0.5803816158</v>
      </c>
      <c r="N15" s="41">
        <f t="shared" si="3"/>
        <v>0.6380644839</v>
      </c>
    </row>
    <row r="16" ht="15.0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</row>
    <row r="17" ht="24.0" customHeight="1">
      <c r="A17" s="37" t="s">
        <v>89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3"/>
    </row>
    <row r="18" ht="24.0" customHeight="1">
      <c r="A18" s="15" t="s">
        <v>75</v>
      </c>
      <c r="B18" s="15" t="s">
        <v>76</v>
      </c>
      <c r="C18" s="21" t="s">
        <v>41</v>
      </c>
      <c r="D18" s="21" t="s">
        <v>42</v>
      </c>
      <c r="E18" s="21" t="s">
        <v>43</v>
      </c>
      <c r="F18" s="21" t="s">
        <v>44</v>
      </c>
      <c r="G18" s="21" t="s">
        <v>45</v>
      </c>
      <c r="H18" s="21" t="s">
        <v>46</v>
      </c>
      <c r="I18" s="21" t="s">
        <v>47</v>
      </c>
      <c r="J18" s="21" t="s">
        <v>48</v>
      </c>
      <c r="K18" s="21" t="s">
        <v>49</v>
      </c>
      <c r="L18" s="21" t="s">
        <v>50</v>
      </c>
      <c r="M18" s="21" t="s">
        <v>51</v>
      </c>
      <c r="N18" s="21" t="s">
        <v>52</v>
      </c>
    </row>
    <row r="19" ht="24.0" customHeight="1">
      <c r="A19" s="15" t="s">
        <v>90</v>
      </c>
      <c r="B19" s="15" t="s">
        <v>91</v>
      </c>
      <c r="C19" s="38">
        <f t="shared" ref="C19:N19" si="4">C8</f>
        <v>22609.97</v>
      </c>
      <c r="D19" s="38">
        <f t="shared" si="4"/>
        <v>112846.66</v>
      </c>
      <c r="E19" s="38">
        <f t="shared" si="4"/>
        <v>146507.4</v>
      </c>
      <c r="F19" s="38">
        <f t="shared" si="4"/>
        <v>34931.11</v>
      </c>
      <c r="G19" s="38">
        <f t="shared" si="4"/>
        <v>39742.8</v>
      </c>
      <c r="H19" s="38">
        <f t="shared" si="4"/>
        <v>167254.48</v>
      </c>
      <c r="I19" s="38">
        <f t="shared" si="4"/>
        <v>219972.17</v>
      </c>
      <c r="J19" s="38">
        <f t="shared" si="4"/>
        <v>53639.86</v>
      </c>
      <c r="K19" s="38">
        <f t="shared" si="4"/>
        <v>58501.54</v>
      </c>
      <c r="L19" s="38">
        <f t="shared" si="4"/>
        <v>220463.22</v>
      </c>
      <c r="M19" s="38">
        <f t="shared" si="4"/>
        <v>285580.91</v>
      </c>
      <c r="N19" s="38">
        <f t="shared" si="4"/>
        <v>74557.48</v>
      </c>
    </row>
    <row r="20" ht="24.0" customHeight="1">
      <c r="A20" s="15" t="s">
        <v>92</v>
      </c>
      <c r="B20" s="15" t="s">
        <v>93</v>
      </c>
      <c r="C20" s="42">
        <f>-(('Inventory Model'!C8*Assumptions!C5)+('Inventory Model'!C17*Assumptions!C6)+('Inventory Model'!C26*Assumptions!C7)+('Inventory Model'!C35*Assumptions!C8)+('Inventory Model'!C44*Assumptions!C9)+('Inventory Model'!C53*Assumptions!C10)+('Inventory Model'!C62*Assumptions!C11)+('Inventory Model'!C71*Assumptions!C12)+('Inventory Model'!C80*Assumptions!C13)+('Inventory Model'!C89*Assumptions!C14))</f>
        <v>0</v>
      </c>
      <c r="D20" s="42">
        <f>-(('Inventory Model'!D8*Assumptions!C5)+('Inventory Model'!D17*Assumptions!C6)+('Inventory Model'!D26*Assumptions!C7)+('Inventory Model'!D35*Assumptions!C8)+('Inventory Model'!D44*Assumptions!C9)+('Inventory Model'!D53*Assumptions!C10)+('Inventory Model'!D62*Assumptions!C11)+('Inventory Model'!D71*Assumptions!C12)+('Inventory Model'!D80*Assumptions!C13)+('Inventory Model'!D89*Assumptions!C14))</f>
        <v>0</v>
      </c>
      <c r="E20" s="42">
        <f>-(('Inventory Model'!E8*Assumptions!C5)+('Inventory Model'!E17*Assumptions!C6)+('Inventory Model'!E26*Assumptions!C7)+('Inventory Model'!E35*Assumptions!C8)+('Inventory Model'!E44*Assumptions!C9)+('Inventory Model'!E53*Assumptions!C10)+('Inventory Model'!E62*Assumptions!C11)+('Inventory Model'!E71*Assumptions!C12)+('Inventory Model'!E80*Assumptions!C13)+('Inventory Model'!E89*Assumptions!C14))</f>
        <v>0</v>
      </c>
      <c r="F20" s="42">
        <f>-(('Inventory Model'!F8*Assumptions!C5)+('Inventory Model'!F17*Assumptions!C6)+('Inventory Model'!F26*Assumptions!C7)+('Inventory Model'!F35*Assumptions!C8)+('Inventory Model'!F44*Assumptions!C9)+('Inventory Model'!F53*Assumptions!C10)+('Inventory Model'!F62*Assumptions!C11)+('Inventory Model'!F71*Assumptions!C12)+('Inventory Model'!F80*Assumptions!C13)+('Inventory Model'!F89*Assumptions!C14))</f>
        <v>0</v>
      </c>
      <c r="G20" s="42">
        <f>-(('Inventory Model'!G8*Assumptions!C5)+('Inventory Model'!G17*Assumptions!C6)+('Inventory Model'!G26*Assumptions!C7)+('Inventory Model'!G35*Assumptions!C8)+('Inventory Model'!G44*Assumptions!C9)+('Inventory Model'!G53*Assumptions!C10)+('Inventory Model'!G62*Assumptions!C11)+('Inventory Model'!G71*Assumptions!C12)+('Inventory Model'!G80*Assumptions!C13)+('Inventory Model'!G89*Assumptions!C14))</f>
        <v>0</v>
      </c>
      <c r="H20" s="42">
        <f>-(('Inventory Model'!H8*Assumptions!C5)+('Inventory Model'!H17*Assumptions!C6)+('Inventory Model'!H26*Assumptions!C7)+('Inventory Model'!H35*Assumptions!C8)+('Inventory Model'!H44*Assumptions!C9)+('Inventory Model'!H53*Assumptions!C10)+('Inventory Model'!H62*Assumptions!C11)+('Inventory Model'!H71*Assumptions!C12)+('Inventory Model'!H80*Assumptions!C13)+('Inventory Model'!H89*Assumptions!C14))</f>
        <v>0</v>
      </c>
      <c r="I20" s="42">
        <f>-(('Inventory Model'!I8*Assumptions!C5)+('Inventory Model'!I17*Assumptions!C6)+('Inventory Model'!I26*Assumptions!C7)+('Inventory Model'!I35*Assumptions!C8)+('Inventory Model'!I44*Assumptions!C9)+('Inventory Model'!I53*Assumptions!C10)+('Inventory Model'!I62*Assumptions!C11)+('Inventory Model'!I71*Assumptions!C12)+('Inventory Model'!I80*Assumptions!C13)+('Inventory Model'!I89*Assumptions!C14))</f>
        <v>0</v>
      </c>
      <c r="J20" s="42">
        <f>-(('Inventory Model'!J8*Assumptions!C5)+('Inventory Model'!J17*Assumptions!C6)+('Inventory Model'!J26*Assumptions!C7)+('Inventory Model'!J35*Assumptions!C8)+('Inventory Model'!J44*Assumptions!C9)+('Inventory Model'!J53*Assumptions!C10)+('Inventory Model'!J62*Assumptions!C11)+('Inventory Model'!J71*Assumptions!C12)+('Inventory Model'!J80*Assumptions!C13)+('Inventory Model'!J89*Assumptions!C14))</f>
        <v>0</v>
      </c>
      <c r="K20" s="42">
        <f>-(('Inventory Model'!K8*Assumptions!C5)+('Inventory Model'!K17*Assumptions!C6)+('Inventory Model'!K26*Assumptions!C7)+('Inventory Model'!K35*Assumptions!C8)+('Inventory Model'!K44*Assumptions!C9)+('Inventory Model'!K53*Assumptions!C10)+('Inventory Model'!K62*Assumptions!C11)+('Inventory Model'!K71*Assumptions!C12)+('Inventory Model'!K80*Assumptions!C13)+('Inventory Model'!K89*Assumptions!C14))</f>
        <v>0</v>
      </c>
      <c r="L20" s="42">
        <f>-(('Inventory Model'!L8*Assumptions!C5)+('Inventory Model'!L17*Assumptions!C6)+('Inventory Model'!L26*Assumptions!C7)+('Inventory Model'!L35*Assumptions!C8)+('Inventory Model'!L44*Assumptions!C9)+('Inventory Model'!L53*Assumptions!C10)+('Inventory Model'!L62*Assumptions!C11)+('Inventory Model'!L71*Assumptions!C12)+('Inventory Model'!L80*Assumptions!C13)+('Inventory Model'!L89*Assumptions!C14))</f>
        <v>0</v>
      </c>
      <c r="M20" s="42">
        <f>-(('Inventory Model'!M8*Assumptions!C5)+('Inventory Model'!M17*Assumptions!C6)+('Inventory Model'!M26*Assumptions!C7)+('Inventory Model'!M35*Assumptions!C8)+('Inventory Model'!M44*Assumptions!C9)+('Inventory Model'!M53*Assumptions!C10)+('Inventory Model'!M62*Assumptions!C11)+('Inventory Model'!M71*Assumptions!C12)+('Inventory Model'!M80*Assumptions!C13)+('Inventory Model'!M89*Assumptions!C14))</f>
        <v>0</v>
      </c>
      <c r="N20" s="42">
        <f>-(('Inventory Model'!N8*Assumptions!C5)+('Inventory Model'!N17*Assumptions!C6)+('Inventory Model'!N26*Assumptions!C7)+('Inventory Model'!N35*Assumptions!C8)+('Inventory Model'!N44*Assumptions!C9)+('Inventory Model'!N53*Assumptions!C10)+('Inventory Model'!N62*Assumptions!C11)+('Inventory Model'!N71*Assumptions!C12)+('Inventory Model'!N80*Assumptions!C13)+('Inventory Model'!N89*Assumptions!C14))</f>
        <v>0</v>
      </c>
    </row>
    <row r="21" ht="24.0" customHeight="1">
      <c r="A21" s="15" t="s">
        <v>94</v>
      </c>
      <c r="B21" s="10"/>
      <c r="C21" s="43">
        <f t="shared" ref="C21:N21" si="5">C19+C20</f>
        <v>22609.97</v>
      </c>
      <c r="D21" s="43">
        <f t="shared" si="5"/>
        <v>112846.66</v>
      </c>
      <c r="E21" s="43">
        <f t="shared" si="5"/>
        <v>146507.4</v>
      </c>
      <c r="F21" s="43">
        <f t="shared" si="5"/>
        <v>34931.11</v>
      </c>
      <c r="G21" s="43">
        <f t="shared" si="5"/>
        <v>39742.8</v>
      </c>
      <c r="H21" s="43">
        <f t="shared" si="5"/>
        <v>167254.48</v>
      </c>
      <c r="I21" s="43">
        <f t="shared" si="5"/>
        <v>219972.17</v>
      </c>
      <c r="J21" s="43">
        <f t="shared" si="5"/>
        <v>53639.86</v>
      </c>
      <c r="K21" s="43">
        <f t="shared" si="5"/>
        <v>58501.54</v>
      </c>
      <c r="L21" s="43">
        <f t="shared" si="5"/>
        <v>220463.22</v>
      </c>
      <c r="M21" s="43">
        <f t="shared" si="5"/>
        <v>285580.91</v>
      </c>
      <c r="N21" s="43">
        <f t="shared" si="5"/>
        <v>74557.48</v>
      </c>
    </row>
    <row r="22" ht="24.0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</row>
    <row r="23" ht="24.0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</row>
    <row r="24" ht="24.0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</row>
    <row r="25" ht="24.0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</row>
    <row r="26" ht="24.0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</row>
    <row r="27" ht="24.0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</row>
    <row r="28" ht="24.0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</row>
    <row r="29" ht="24.0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</row>
    <row r="30" ht="24.0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</row>
    <row r="31" ht="24.0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</row>
    <row r="32" ht="24.0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</row>
    <row r="33" ht="24.0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</row>
    <row r="34" ht="24.0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</row>
    <row r="35" ht="24.0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</row>
    <row r="36" ht="24.0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</row>
    <row r="37" ht="24.0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</row>
    <row r="38" ht="24.0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</row>
    <row r="39" ht="24.0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</row>
    <row r="40" ht="24.0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</row>
    <row r="41" ht="24.0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</row>
    <row r="42" ht="24.0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</row>
    <row r="43" ht="24.0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</row>
    <row r="44" ht="24.0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</row>
    <row r="45" ht="24.0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</row>
    <row r="46" ht="24.0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</row>
    <row r="47" ht="24.0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</row>
    <row r="48" ht="24.0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</row>
    <row r="49" ht="24.0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</row>
    <row r="50" ht="24.0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</row>
    <row r="51" ht="24.0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</row>
    <row r="52" ht="24.0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</row>
    <row r="53" ht="24.0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</row>
    <row r="54" ht="24.0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</row>
    <row r="55" ht="24.0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</row>
    <row r="56" ht="24.0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</row>
    <row r="57" ht="24.0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</row>
    <row r="58" ht="24.0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</row>
    <row r="59" ht="24.0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</row>
    <row r="60" ht="24.0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</row>
    <row r="61" ht="24.0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</row>
    <row r="62" ht="24.0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</row>
    <row r="63" ht="24.0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</row>
    <row r="64" ht="24.0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</row>
    <row r="65" ht="24.0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</row>
    <row r="66" ht="24.0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</row>
    <row r="67" ht="24.0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</row>
    <row r="68" ht="24.0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</row>
    <row r="69" ht="24.0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</row>
    <row r="70" ht="24.0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</row>
    <row r="71" ht="24.0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</row>
    <row r="72" ht="24.0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</row>
    <row r="73" ht="24.0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</row>
    <row r="74" ht="24.0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</row>
    <row r="75" ht="24.0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</row>
    <row r="76" ht="24.0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</row>
    <row r="77" ht="24.0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</row>
    <row r="78" ht="24.0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</row>
    <row r="79" ht="24.0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</row>
    <row r="80" ht="24.0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</row>
    <row r="81" ht="24.0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</row>
    <row r="82" ht="24.0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</row>
    <row r="83" ht="24.0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</row>
    <row r="84" ht="24.0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</row>
    <row r="85" ht="24.0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</row>
    <row r="86" ht="24.0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</row>
    <row r="87" ht="24.0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</row>
    <row r="88" ht="24.0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</row>
    <row r="89" ht="24.0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</row>
    <row r="90" ht="24.0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</row>
    <row r="91" ht="24.0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</row>
    <row r="92" ht="24.0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</row>
    <row r="93" ht="24.0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</row>
    <row r="94" ht="24.0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</row>
    <row r="95" ht="24.0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</row>
    <row r="96" ht="24.0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</row>
    <row r="97" ht="24.0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</row>
    <row r="98" ht="24.0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</row>
    <row r="99" ht="24.0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</row>
    <row r="100" ht="24.0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</row>
    <row r="101" ht="24.0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</row>
    <row r="102" ht="24.0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</row>
    <row r="103" ht="24.0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</row>
    <row r="104" ht="24.0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</row>
    <row r="105" ht="24.0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</row>
    <row r="106" ht="24.0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</row>
    <row r="107" ht="24.0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</row>
    <row r="108" ht="24.0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</row>
    <row r="109" ht="24.0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</row>
    <row r="110" ht="24.0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</row>
    <row r="111" ht="24.0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</row>
    <row r="112" ht="24.0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</row>
    <row r="113" ht="24.0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</row>
    <row r="114" ht="24.0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</row>
    <row r="115" ht="24.0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</row>
    <row r="116" ht="24.0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</row>
    <row r="117" ht="24.0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</row>
    <row r="118" ht="24.0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</row>
    <row r="119" ht="24.0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</row>
    <row r="120" ht="24.0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</row>
    <row r="121" ht="24.0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</row>
    <row r="122" ht="24.0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</row>
    <row r="123" ht="24.0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</row>
    <row r="124" ht="24.0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</row>
    <row r="125" ht="24.0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</row>
    <row r="126" ht="24.0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</row>
    <row r="127" ht="24.0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</row>
    <row r="128" ht="24.0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</row>
    <row r="129" ht="24.0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</row>
    <row r="130" ht="24.0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</row>
    <row r="131" ht="24.0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</row>
    <row r="132" ht="24.0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</row>
    <row r="133" ht="24.0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</row>
    <row r="134" ht="24.0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</row>
    <row r="135" ht="24.0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</row>
    <row r="136" ht="24.0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</row>
    <row r="137" ht="24.0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</row>
    <row r="138" ht="24.0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</row>
    <row r="139" ht="24.0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</row>
    <row r="140" ht="24.0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</row>
    <row r="141" ht="24.0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</row>
    <row r="142" ht="24.0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</row>
    <row r="143" ht="24.0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</row>
    <row r="144" ht="24.0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</row>
    <row r="145" ht="24.0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</row>
    <row r="146" ht="24.0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</row>
    <row r="147" ht="24.0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</row>
    <row r="148" ht="24.0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</row>
    <row r="149" ht="24.0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</row>
  </sheetData>
  <mergeCells count="5">
    <mergeCell ref="A1:N1"/>
    <mergeCell ref="A2:N2"/>
    <mergeCell ref="A4:N4"/>
    <mergeCell ref="A10:N10"/>
    <mergeCell ref="A17:N17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25.0"/>
    <col customWidth="1" min="2" max="5" width="140.0"/>
    <col customWidth="1" min="6" max="6" width="25.0"/>
    <col customWidth="1" min="7" max="9" width="140.0"/>
    <col customWidth="1" min="10" max="10" width="25.0"/>
    <col customWidth="1" min="11" max="13" width="150.0"/>
    <col customWidth="1" min="14" max="26" width="8.71"/>
  </cols>
  <sheetData>
    <row r="1" ht="21.75" customHeight="1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ht="21.75" customHeight="1">
      <c r="A2" s="10"/>
      <c r="B2" s="44" t="s">
        <v>95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ht="21.75" customHeight="1">
      <c r="A3" s="10"/>
      <c r="B3" s="45" t="s">
        <v>96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4" ht="21.75" customHeight="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ht="21.75" customHeight="1">
      <c r="A5" s="10"/>
      <c r="B5" s="37" t="s">
        <v>97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3"/>
    </row>
    <row r="6" ht="21.75" customHeight="1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</row>
    <row r="7" ht="21.75" customHeight="1">
      <c r="A7" s="10"/>
      <c r="B7" s="46">
        <f>SUM('Financial Summary'!C8:N8)</f>
        <v>1436607.6</v>
      </c>
      <c r="C7" s="47"/>
      <c r="D7" s="48">
        <f>AVERAGE('Financial Summary'!C15:N15)</f>
        <v>0.6091623951</v>
      </c>
      <c r="E7" s="47"/>
      <c r="F7" s="49">
        <f>SUM('Financial Summary'!C12:N12)</f>
        <v>7595</v>
      </c>
      <c r="G7" s="47"/>
      <c r="H7" s="49">
        <f>SUM(Assumptions!H5:H14)</f>
        <v>2950</v>
      </c>
      <c r="I7" s="47"/>
      <c r="J7" s="50">
        <f>SUMPRODUCT((Assumptions!H5:H14&lt;Assumptions!G5:G14)*1)</f>
        <v>0</v>
      </c>
      <c r="K7" s="47"/>
      <c r="L7" s="46">
        <f>SUMPRODUCT(Assumptions!C5:C14,Assumptions!H5:H14)</f>
        <v>124500</v>
      </c>
      <c r="M7" s="47"/>
    </row>
    <row r="8" ht="21.75" customHeight="1">
      <c r="A8" s="10"/>
      <c r="B8" s="51"/>
      <c r="C8" s="52"/>
      <c r="D8" s="51"/>
      <c r="E8" s="52"/>
      <c r="F8" s="51"/>
      <c r="G8" s="52"/>
      <c r="H8" s="51"/>
      <c r="I8" s="52"/>
      <c r="J8" s="51"/>
      <c r="K8" s="52"/>
      <c r="L8" s="51"/>
      <c r="M8" s="52"/>
    </row>
    <row r="9" ht="21.75" customHeight="1">
      <c r="A9" s="10"/>
      <c r="B9" s="53" t="s">
        <v>98</v>
      </c>
      <c r="D9" s="53" t="s">
        <v>88</v>
      </c>
      <c r="F9" s="53" t="s">
        <v>83</v>
      </c>
      <c r="H9" s="53" t="s">
        <v>99</v>
      </c>
      <c r="J9" s="53" t="s">
        <v>100</v>
      </c>
      <c r="L9" s="53" t="s">
        <v>101</v>
      </c>
    </row>
    <row r="10" ht="19.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</row>
    <row r="11" ht="21.75" customHeight="1">
      <c r="A11" s="10"/>
      <c r="B11" s="37" t="s">
        <v>102</v>
      </c>
      <c r="C11" s="12"/>
      <c r="D11" s="12"/>
      <c r="E11" s="12"/>
      <c r="F11" s="12"/>
      <c r="G11" s="13"/>
      <c r="H11" s="37" t="s">
        <v>103</v>
      </c>
      <c r="I11" s="12"/>
      <c r="J11" s="12"/>
      <c r="K11" s="12"/>
      <c r="L11" s="13"/>
      <c r="M11" s="10"/>
    </row>
    <row r="12" ht="21.75" customHeight="1">
      <c r="A12" s="10"/>
      <c r="B12" s="21" t="s">
        <v>39</v>
      </c>
      <c r="C12" s="21" t="s">
        <v>104</v>
      </c>
      <c r="D12" s="21" t="s">
        <v>105</v>
      </c>
      <c r="E12" s="21" t="s">
        <v>106</v>
      </c>
      <c r="F12" s="21" t="s">
        <v>107</v>
      </c>
      <c r="G12" s="21" t="s">
        <v>62</v>
      </c>
      <c r="H12" s="21" t="s">
        <v>108</v>
      </c>
      <c r="I12" s="21" t="s">
        <v>53</v>
      </c>
      <c r="J12" s="21" t="s">
        <v>109</v>
      </c>
      <c r="K12" s="21" t="s">
        <v>110</v>
      </c>
      <c r="L12" s="21" t="s">
        <v>111</v>
      </c>
      <c r="M12" s="10"/>
    </row>
    <row r="13" ht="21.75" customHeight="1">
      <c r="A13" s="10"/>
      <c r="B13" s="15" t="str">
        <f>Assumptions!A5</f>
        <v>SKU001</v>
      </c>
      <c r="C13" s="40">
        <f>Assumptions!H5</f>
        <v>250</v>
      </c>
      <c r="D13" s="54">
        <f>SUM('Demand Forecast'!C40:N40)/365</f>
        <v>3.830136986</v>
      </c>
      <c r="E13" s="55">
        <f t="shared" ref="E13:E22" si="1">IF(D13=0,"∞",C13/D13)</f>
        <v>65.27181688</v>
      </c>
      <c r="F13" s="56" t="str">
        <f t="shared" ref="F13:F22" si="2">IF(E13="∞","Never",TEXT(TODAY()+E13,"mmm dd"))</f>
        <v>Apr 18</v>
      </c>
      <c r="G13" s="56" t="str">
        <f t="shared" ref="G13:G22" si="3">IF(E13="∞","✅ OK",IF(E13&lt;30,"🚨 URGENT",IF(E13&lt;60,"⚠️ SOON","✅ OK")))</f>
        <v>✅ OK</v>
      </c>
      <c r="H13" s="15" t="s">
        <v>112</v>
      </c>
      <c r="I13" s="38">
        <f>'Financial Summary'!C6</f>
        <v>22609.97</v>
      </c>
      <c r="J13" s="38">
        <f>'Financial Summary'!C7</f>
        <v>0</v>
      </c>
      <c r="K13" s="38">
        <f>'Financial Summary'!C8</f>
        <v>22609.97</v>
      </c>
      <c r="L13" s="41">
        <f>'Financial Summary'!C15</f>
        <v>0.6362224275</v>
      </c>
      <c r="M13" s="10"/>
    </row>
    <row r="14" ht="21.75" customHeight="1">
      <c r="A14" s="10"/>
      <c r="B14" s="15" t="str">
        <f>Assumptions!A6</f>
        <v>SKU002</v>
      </c>
      <c r="C14" s="40">
        <f>Assumptions!H6</f>
        <v>180</v>
      </c>
      <c r="D14" s="54">
        <f>SUM('Demand Forecast'!C41:N41)/365</f>
        <v>2.81369863</v>
      </c>
      <c r="E14" s="55">
        <f t="shared" si="1"/>
        <v>63.97273612</v>
      </c>
      <c r="F14" s="56" t="str">
        <f t="shared" si="2"/>
        <v>Apr 16</v>
      </c>
      <c r="G14" s="56" t="str">
        <f t="shared" si="3"/>
        <v>✅ OK</v>
      </c>
      <c r="H14" s="15" t="s">
        <v>113</v>
      </c>
      <c r="I14" s="38">
        <f>'Financial Summary'!D6</f>
        <v>27421.66</v>
      </c>
      <c r="J14" s="38">
        <f>'Financial Summary'!D7</f>
        <v>85425</v>
      </c>
      <c r="K14" s="38">
        <f>'Financial Summary'!D8</f>
        <v>112846.66</v>
      </c>
      <c r="L14" s="41">
        <f>'Financial Summary'!D15</f>
        <v>0.5805591411</v>
      </c>
      <c r="M14" s="10"/>
    </row>
    <row r="15" ht="21.75" customHeight="1">
      <c r="A15" s="10"/>
      <c r="B15" s="15" t="str">
        <f>Assumptions!A7</f>
        <v>SKU003</v>
      </c>
      <c r="C15" s="40">
        <f>Assumptions!H7</f>
        <v>150</v>
      </c>
      <c r="D15" s="54">
        <f>SUM('Demand Forecast'!C42:N42)/365</f>
        <v>2.284931507</v>
      </c>
      <c r="E15" s="55">
        <f t="shared" si="1"/>
        <v>65.64748201</v>
      </c>
      <c r="F15" s="56" t="str">
        <f t="shared" si="2"/>
        <v>Apr 18</v>
      </c>
      <c r="G15" s="56" t="str">
        <f t="shared" si="3"/>
        <v>✅ OK</v>
      </c>
      <c r="H15" s="15" t="s">
        <v>114</v>
      </c>
      <c r="I15" s="38">
        <f>'Financial Summary'!E6</f>
        <v>30807.4</v>
      </c>
      <c r="J15" s="38">
        <f>'Financial Summary'!E7</f>
        <v>115700</v>
      </c>
      <c r="K15" s="38">
        <f>'Financial Summary'!E8</f>
        <v>146507.4</v>
      </c>
      <c r="L15" s="41">
        <f>'Financial Summary'!E15</f>
        <v>0.5783489435</v>
      </c>
      <c r="M15" s="10"/>
    </row>
    <row r="16" ht="21.75" customHeight="1">
      <c r="A16" s="10"/>
      <c r="B16" s="15" t="str">
        <f>Assumptions!A8</f>
        <v>SKU004</v>
      </c>
      <c r="C16" s="40">
        <f>Assumptions!H8</f>
        <v>120</v>
      </c>
      <c r="D16" s="54">
        <f>SUM('Demand Forecast'!C43:N43)/365</f>
        <v>1.709589041</v>
      </c>
      <c r="E16" s="55">
        <f t="shared" si="1"/>
        <v>70.19230769</v>
      </c>
      <c r="F16" s="56" t="str">
        <f t="shared" si="2"/>
        <v>Apr 23</v>
      </c>
      <c r="G16" s="56" t="str">
        <f t="shared" si="3"/>
        <v>✅ OK</v>
      </c>
      <c r="H16" s="15" t="s">
        <v>115</v>
      </c>
      <c r="I16" s="38">
        <f>'Financial Summary'!F6</f>
        <v>34931.11</v>
      </c>
      <c r="J16" s="38">
        <f>'Financial Summary'!F7</f>
        <v>0</v>
      </c>
      <c r="K16" s="38">
        <f>'Financial Summary'!F8</f>
        <v>34931.11</v>
      </c>
      <c r="L16" s="41">
        <f>'Financial Summary'!F15</f>
        <v>0.6373576448</v>
      </c>
      <c r="M16" s="10"/>
    </row>
    <row r="17" ht="21.75" customHeight="1">
      <c r="A17" s="10"/>
      <c r="B17" s="15" t="str">
        <f>Assumptions!A9</f>
        <v>SKU005</v>
      </c>
      <c r="C17" s="40">
        <f>Assumptions!H9</f>
        <v>110</v>
      </c>
      <c r="D17" s="54">
        <f>SUM('Demand Forecast'!C44:N44)/365</f>
        <v>1.550684932</v>
      </c>
      <c r="E17" s="55">
        <f t="shared" si="1"/>
        <v>70.93639576</v>
      </c>
      <c r="F17" s="56" t="str">
        <f t="shared" si="2"/>
        <v>Apr 23</v>
      </c>
      <c r="G17" s="56" t="str">
        <f t="shared" si="3"/>
        <v>✅ OK</v>
      </c>
      <c r="H17" s="15" t="s">
        <v>45</v>
      </c>
      <c r="I17" s="38">
        <f>'Financial Summary'!G6</f>
        <v>39742.8</v>
      </c>
      <c r="J17" s="38">
        <f>'Financial Summary'!G7</f>
        <v>0</v>
      </c>
      <c r="K17" s="38">
        <f>'Financial Summary'!G8</f>
        <v>39742.8</v>
      </c>
      <c r="L17" s="41">
        <f>'Financial Summary'!G15</f>
        <v>0.6376702195</v>
      </c>
      <c r="M17" s="10"/>
    </row>
    <row r="18" ht="21.75" customHeight="1">
      <c r="A18" s="10"/>
      <c r="B18" s="15" t="str">
        <f>Assumptions!A10</f>
        <v>SKU006</v>
      </c>
      <c r="C18" s="40">
        <f>Assumptions!H10</f>
        <v>90</v>
      </c>
      <c r="D18" s="54">
        <f>SUM('Demand Forecast'!C45:N45)/365</f>
        <v>0.5315068493</v>
      </c>
      <c r="E18" s="55">
        <f t="shared" si="1"/>
        <v>169.3298969</v>
      </c>
      <c r="F18" s="56" t="str">
        <f t="shared" si="2"/>
        <v>Jul 31</v>
      </c>
      <c r="G18" s="56" t="str">
        <f t="shared" si="3"/>
        <v>✅ OK</v>
      </c>
      <c r="H18" s="15" t="s">
        <v>116</v>
      </c>
      <c r="I18" s="38">
        <f>'Financial Summary'!H6</f>
        <v>44604.48</v>
      </c>
      <c r="J18" s="38">
        <f>'Financial Summary'!H7</f>
        <v>122650</v>
      </c>
      <c r="K18" s="38">
        <f>'Financial Summary'!H8</f>
        <v>167254.48</v>
      </c>
      <c r="L18" s="41">
        <f>'Financial Summary'!H15</f>
        <v>0.5824775516</v>
      </c>
      <c r="M18" s="10"/>
    </row>
    <row r="19" ht="21.75" customHeight="1">
      <c r="A19" s="10"/>
      <c r="B19" s="15" t="str">
        <f>Assumptions!A11</f>
        <v>SKU007</v>
      </c>
      <c r="C19" s="40">
        <f>Assumptions!H11</f>
        <v>800</v>
      </c>
      <c r="D19" s="54">
        <f>SUM('Demand Forecast'!C46:N46)/365</f>
        <v>2.561643836</v>
      </c>
      <c r="E19" s="55">
        <f t="shared" si="1"/>
        <v>312.2994652</v>
      </c>
      <c r="F19" s="56" t="str">
        <f t="shared" si="2"/>
        <v>Dec 21</v>
      </c>
      <c r="G19" s="56" t="str">
        <f t="shared" si="3"/>
        <v>✅ OK</v>
      </c>
      <c r="H19" s="15" t="s">
        <v>117</v>
      </c>
      <c r="I19" s="38">
        <f>'Financial Summary'!I6</f>
        <v>49122.17</v>
      </c>
      <c r="J19" s="38">
        <f>'Financial Summary'!I7</f>
        <v>170850</v>
      </c>
      <c r="K19" s="38">
        <f>'Financial Summary'!I8</f>
        <v>219972.17</v>
      </c>
      <c r="L19" s="41">
        <f>'Financial Summary'!I15</f>
        <v>0.579287689</v>
      </c>
      <c r="M19" s="10"/>
    </row>
    <row r="20" ht="21.75" customHeight="1">
      <c r="A20" s="10"/>
      <c r="B20" s="15" t="str">
        <f>Assumptions!A12</f>
        <v>SKU008</v>
      </c>
      <c r="C20" s="40">
        <f>Assumptions!H12</f>
        <v>600</v>
      </c>
      <c r="D20" s="54">
        <f>SUM('Demand Forecast'!C47:N47)/365</f>
        <v>2.219178082</v>
      </c>
      <c r="E20" s="55">
        <f t="shared" si="1"/>
        <v>270.3703704</v>
      </c>
      <c r="F20" s="56" t="str">
        <f t="shared" si="2"/>
        <v>Nov 09</v>
      </c>
      <c r="G20" s="56" t="str">
        <f t="shared" si="3"/>
        <v>✅ OK</v>
      </c>
      <c r="H20" s="15" t="s">
        <v>118</v>
      </c>
      <c r="I20" s="38">
        <f>'Financial Summary'!J6</f>
        <v>53639.86</v>
      </c>
      <c r="J20" s="38">
        <f>'Financial Summary'!J7</f>
        <v>0</v>
      </c>
      <c r="K20" s="38">
        <f>'Financial Summary'!J8</f>
        <v>53639.86</v>
      </c>
      <c r="L20" s="41">
        <f>'Financial Summary'!J15</f>
        <v>0.6377227681</v>
      </c>
      <c r="M20" s="10"/>
    </row>
    <row r="21" ht="21.75" customHeight="1">
      <c r="A21" s="10"/>
      <c r="B21" s="15" t="str">
        <f>Assumptions!A13</f>
        <v>SKU009</v>
      </c>
      <c r="C21" s="40">
        <f>Assumptions!H13</f>
        <v>350</v>
      </c>
      <c r="D21" s="54">
        <f>SUM('Demand Forecast'!C48:N48)/365</f>
        <v>1.890410959</v>
      </c>
      <c r="E21" s="55">
        <f t="shared" si="1"/>
        <v>185.1449275</v>
      </c>
      <c r="F21" s="56" t="str">
        <f t="shared" si="2"/>
        <v>Aug 16</v>
      </c>
      <c r="G21" s="56" t="str">
        <f t="shared" si="3"/>
        <v>✅ OK</v>
      </c>
      <c r="H21" s="15" t="s">
        <v>119</v>
      </c>
      <c r="I21" s="38">
        <f>'Financial Summary'!K6</f>
        <v>58501.54</v>
      </c>
      <c r="J21" s="38">
        <f>'Financial Summary'!K7</f>
        <v>0</v>
      </c>
      <c r="K21" s="38">
        <f>'Financial Summary'!K8</f>
        <v>58501.54</v>
      </c>
      <c r="L21" s="41">
        <f>'Financial Summary'!K15</f>
        <v>0.6377873129</v>
      </c>
      <c r="M21" s="10"/>
    </row>
    <row r="22" ht="21.75" customHeight="1">
      <c r="A22" s="10"/>
      <c r="B22" s="15" t="str">
        <f>Assumptions!A14</f>
        <v>SKU010</v>
      </c>
      <c r="C22" s="40">
        <f>Assumptions!H14</f>
        <v>300</v>
      </c>
      <c r="D22" s="54">
        <f>SUM('Demand Forecast'!C49:N49)/365</f>
        <v>1.416438356</v>
      </c>
      <c r="E22" s="55">
        <f t="shared" si="1"/>
        <v>211.7988395</v>
      </c>
      <c r="F22" s="56" t="str">
        <f t="shared" si="2"/>
        <v>Sep 11</v>
      </c>
      <c r="G22" s="56" t="str">
        <f t="shared" si="3"/>
        <v>✅ OK</v>
      </c>
      <c r="H22" s="15" t="s">
        <v>120</v>
      </c>
      <c r="I22" s="38">
        <f>'Financial Summary'!L6</f>
        <v>63363.22</v>
      </c>
      <c r="J22" s="38">
        <f>'Financial Summary'!L7</f>
        <v>157100</v>
      </c>
      <c r="K22" s="38">
        <f>'Financial Summary'!L8</f>
        <v>220463.22</v>
      </c>
      <c r="L22" s="41">
        <f>'Financial Summary'!L15</f>
        <v>0.5840689436</v>
      </c>
      <c r="M22" s="10"/>
    </row>
    <row r="23" ht="19.5" customHeight="1">
      <c r="A23" s="10"/>
      <c r="B23" s="10"/>
      <c r="C23" s="10"/>
      <c r="D23" s="10"/>
      <c r="E23" s="10"/>
      <c r="F23" s="10"/>
      <c r="G23" s="10"/>
      <c r="H23" s="15" t="s">
        <v>121</v>
      </c>
      <c r="I23" s="38">
        <f>'Financial Summary'!M6</f>
        <v>67880.91</v>
      </c>
      <c r="J23" s="38">
        <f>'Financial Summary'!M7</f>
        <v>217700</v>
      </c>
      <c r="K23" s="38">
        <f>'Financial Summary'!M8</f>
        <v>285580.91</v>
      </c>
      <c r="L23" s="41">
        <f>'Financial Summary'!M15</f>
        <v>0.5803816158</v>
      </c>
      <c r="M23" s="10"/>
    </row>
    <row r="24" ht="21.75" customHeight="1">
      <c r="A24" s="10"/>
      <c r="B24" s="10"/>
      <c r="C24" s="10"/>
      <c r="D24" s="10"/>
      <c r="E24" s="10"/>
      <c r="F24" s="10"/>
      <c r="G24" s="10"/>
      <c r="H24" s="15" t="s">
        <v>122</v>
      </c>
      <c r="I24" s="38">
        <f>'Financial Summary'!N6</f>
        <v>74557.48</v>
      </c>
      <c r="J24" s="38">
        <f>'Financial Summary'!N7</f>
        <v>0</v>
      </c>
      <c r="K24" s="38">
        <f>'Financial Summary'!N8</f>
        <v>74557.48</v>
      </c>
      <c r="L24" s="41">
        <f>'Financial Summary'!N15</f>
        <v>0.6380644839</v>
      </c>
      <c r="M24" s="10"/>
    </row>
    <row r="25" ht="21.75" customHeight="1">
      <c r="A25" s="10"/>
      <c r="B25" s="37" t="s">
        <v>123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3"/>
    </row>
    <row r="26" ht="21.75" customHeight="1">
      <c r="A26" s="10"/>
      <c r="B26" s="15" t="s">
        <v>108</v>
      </c>
      <c r="C26" s="57" t="s">
        <v>112</v>
      </c>
      <c r="D26" s="57" t="s">
        <v>113</v>
      </c>
      <c r="E26" s="57" t="s">
        <v>114</v>
      </c>
      <c r="F26" s="57" t="s">
        <v>115</v>
      </c>
      <c r="G26" s="57" t="s">
        <v>45</v>
      </c>
      <c r="H26" s="57" t="s">
        <v>116</v>
      </c>
      <c r="I26" s="57" t="s">
        <v>117</v>
      </c>
      <c r="J26" s="57" t="s">
        <v>118</v>
      </c>
      <c r="K26" s="57" t="s">
        <v>119</v>
      </c>
      <c r="L26" s="57" t="s">
        <v>120</v>
      </c>
      <c r="M26" s="57" t="s">
        <v>121</v>
      </c>
      <c r="N26" s="57" t="s">
        <v>122</v>
      </c>
    </row>
    <row r="27" ht="21.75" customHeight="1">
      <c r="A27" s="10"/>
      <c r="B27" s="15" t="s">
        <v>124</v>
      </c>
      <c r="C27" s="40">
        <f>'Inventory Model'!C9</f>
        <v>235</v>
      </c>
      <c r="D27" s="40">
        <f>'Inventory Model'!D9</f>
        <v>117</v>
      </c>
      <c r="E27" s="40">
        <f>'Inventory Model'!E9</f>
        <v>0</v>
      </c>
      <c r="F27" s="40">
        <f>'Inventory Model'!F9</f>
        <v>0</v>
      </c>
      <c r="G27" s="40">
        <f>'Inventory Model'!G9</f>
        <v>0</v>
      </c>
      <c r="H27" s="40">
        <f>'Inventory Model'!H9</f>
        <v>0</v>
      </c>
      <c r="I27" s="40">
        <f>'Inventory Model'!I9</f>
        <v>0</v>
      </c>
      <c r="J27" s="40">
        <f>'Inventory Model'!J9</f>
        <v>0</v>
      </c>
      <c r="K27" s="40">
        <f>'Inventory Model'!K9</f>
        <v>0</v>
      </c>
      <c r="L27" s="40">
        <f>'Inventory Model'!L9</f>
        <v>0</v>
      </c>
      <c r="M27" s="40">
        <f>'Inventory Model'!M9</f>
        <v>0</v>
      </c>
      <c r="N27" s="40">
        <f>'Inventory Model'!N9</f>
        <v>0</v>
      </c>
    </row>
    <row r="28" ht="21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</row>
    <row r="29" ht="21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</row>
    <row r="30" ht="21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</row>
    <row r="31" ht="21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</row>
    <row r="32" ht="21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</row>
    <row r="33" ht="21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</row>
    <row r="34" ht="21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</row>
    <row r="35" ht="21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</row>
    <row r="36" ht="21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</row>
    <row r="37" ht="21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</row>
    <row r="38" ht="21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</row>
    <row r="39" ht="21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</row>
    <row r="40" ht="21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</row>
    <row r="41" ht="21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</row>
    <row r="42" ht="21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</row>
    <row r="43" ht="21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</row>
    <row r="44" ht="21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</row>
    <row r="45" ht="21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</row>
    <row r="46" ht="21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</row>
    <row r="47" ht="21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</row>
    <row r="48" ht="21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</row>
    <row r="49" ht="21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</row>
    <row r="50" ht="21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</row>
    <row r="51" ht="21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</row>
    <row r="52" ht="21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</row>
    <row r="53" ht="21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</row>
    <row r="54" ht="21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</row>
    <row r="55" ht="21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</row>
    <row r="56" ht="21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</row>
    <row r="57" ht="21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</row>
    <row r="58" ht="21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</row>
    <row r="59" ht="21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</row>
    <row r="60" ht="24.0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</row>
    <row r="61" ht="24.0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</row>
    <row r="62" ht="24.0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</row>
    <row r="63" ht="24.0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</row>
    <row r="64" ht="24.0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</row>
    <row r="65" ht="24.0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</row>
    <row r="66" ht="24.0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</row>
    <row r="67" ht="24.0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</row>
    <row r="68" ht="24.0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</row>
    <row r="69" ht="24.0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</row>
    <row r="70" ht="24.0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</row>
    <row r="71" ht="24.0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</row>
    <row r="72" ht="24.0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</row>
    <row r="73" ht="24.0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</row>
    <row r="74" ht="24.0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</row>
    <row r="75" ht="24.0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</row>
    <row r="76" ht="24.0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</row>
    <row r="77" ht="24.0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</row>
    <row r="78" ht="24.0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</row>
    <row r="79" ht="24.0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</row>
    <row r="80" ht="24.0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</row>
    <row r="81" ht="24.0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</row>
    <row r="82" ht="24.0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</row>
    <row r="83" ht="24.0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</row>
    <row r="84" ht="24.0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</row>
    <row r="85" ht="24.0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</row>
    <row r="86" ht="24.0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</row>
    <row r="87" ht="24.0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</row>
    <row r="88" ht="24.0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</row>
    <row r="89" ht="24.0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</row>
    <row r="90" ht="24.0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</row>
    <row r="91" ht="24.0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</row>
    <row r="92" ht="24.0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</row>
    <row r="93" ht="24.0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</row>
    <row r="94" ht="24.0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</row>
    <row r="95" ht="24.0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</row>
    <row r="96" ht="24.0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</row>
    <row r="97" ht="24.0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</row>
    <row r="98" ht="24.0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</row>
    <row r="99" ht="24.0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</row>
    <row r="100" ht="24.0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</row>
    <row r="101" ht="24.0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</row>
    <row r="102" ht="24.0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</row>
    <row r="103" ht="24.0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</row>
    <row r="104" ht="24.0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</row>
    <row r="105" ht="24.0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</row>
    <row r="106" ht="24.0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</row>
    <row r="107" ht="24.0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</row>
    <row r="108" ht="24.0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</row>
    <row r="109" ht="24.0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</row>
    <row r="110" ht="24.0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</row>
    <row r="111" ht="24.0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</row>
    <row r="112" ht="24.0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</row>
    <row r="113" ht="24.0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</row>
    <row r="114" ht="24.0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</row>
    <row r="115" ht="24.0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</row>
    <row r="116" ht="24.0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</row>
    <row r="117" ht="24.0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</row>
    <row r="118" ht="24.0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</row>
    <row r="119" ht="24.0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</row>
    <row r="120" ht="24.0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</row>
    <row r="121" ht="24.0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</row>
    <row r="122" ht="24.0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</row>
    <row r="123" ht="24.0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</row>
    <row r="124" ht="24.0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</row>
    <row r="125" ht="24.0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</row>
    <row r="126" ht="24.0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</row>
    <row r="127" ht="24.0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</row>
    <row r="128" ht="24.0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</row>
    <row r="129" ht="24.0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</row>
    <row r="130" ht="24.0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</row>
    <row r="131" ht="24.0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</row>
    <row r="132" ht="24.0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</row>
    <row r="133" ht="24.0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</row>
    <row r="134" ht="24.0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</row>
    <row r="135" ht="24.0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</row>
    <row r="136" ht="24.0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</row>
    <row r="137" ht="24.0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</row>
    <row r="138" ht="24.0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</row>
    <row r="139" ht="24.0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</row>
    <row r="140" ht="24.0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</row>
    <row r="141" ht="24.0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</row>
    <row r="142" ht="24.0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</row>
    <row r="143" ht="24.0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</row>
    <row r="144" ht="24.0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</row>
    <row r="145" ht="24.0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</row>
    <row r="146" ht="24.0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</row>
    <row r="147" ht="24.0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</row>
    <row r="148" ht="24.0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</row>
    <row r="149" ht="24.0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</row>
  </sheetData>
  <mergeCells count="16">
    <mergeCell ref="B5:M5"/>
    <mergeCell ref="B7:C8"/>
    <mergeCell ref="D7:E8"/>
    <mergeCell ref="F7:G8"/>
    <mergeCell ref="H7:I8"/>
    <mergeCell ref="J7:K8"/>
    <mergeCell ref="L7:M8"/>
    <mergeCell ref="B11:G11"/>
    <mergeCell ref="B25:N25"/>
    <mergeCell ref="B9:C9"/>
    <mergeCell ref="D9:E9"/>
    <mergeCell ref="F9:G9"/>
    <mergeCell ref="H9:I9"/>
    <mergeCell ref="J9:K9"/>
    <mergeCell ref="L9:M9"/>
    <mergeCell ref="H11:L11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2026-02-13T03:13:29Z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